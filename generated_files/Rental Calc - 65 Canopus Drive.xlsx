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951" firstSheet="1" activeTab="1" autoFilterDateGrouping="1"/>
  </bookViews>
  <sheets>
    <sheet name="!! PLA &amp; Man % OP" sheetId="1" state="hidden" r:id="rId1"/>
    <sheet name="Template" sheetId="2" state="visible" r:id="rId2"/>
    <sheet name="Options" sheetId="3" state="hidden" r:id="rId3"/>
  </sheets>
  <definedNames>
    <definedName name="_xlnm.Print_Area" localSheetId="0">'!! PLA &amp; Man % OP'!$A$1:$G$48</definedName>
    <definedName name="_xlnm.Print_Area" localSheetId="1">'Template'!$A$1:$G$47</definedName>
  </definedNames>
  <calcPr calcId="191029" fullCalcOnLoad="1"/>
</workbook>
</file>

<file path=xl/styles.xml><?xml version="1.0" encoding="utf-8"?>
<styleSheet xmlns="http://schemas.openxmlformats.org/spreadsheetml/2006/main">
  <numFmts count="4">
    <numFmt numFmtId="164" formatCode="_-&quot;R&quot;* #,##0.00_-;\-&quot;R&quot;* #,##0.00_-;_-&quot;R&quot;* &quot;-&quot;??_-;_-@_-"/>
    <numFmt numFmtId="165" formatCode="[$-409]d\-mmm\-yy;@"/>
    <numFmt numFmtId="166" formatCode="0.0%"/>
    <numFmt numFmtId="167" formatCode="_-* #,##0.00_-;\-* #,##0.00_-;_-* &quot;-&quot;??_-;_-@_-"/>
  </numFmts>
  <fonts count="11">
    <font>
      <name val="Calibri"/>
      <family val="2"/>
      <color theme="1"/>
      <sz val="11"/>
      <scheme val="minor"/>
    </font>
    <font>
      <name val="Calibri"/>
      <family val="2"/>
      <color theme="1"/>
      <sz val="11"/>
      <scheme val="minor"/>
    </font>
    <font>
      <name val="Calibri"/>
      <family val="2"/>
      <b val="1"/>
      <color theme="0"/>
      <sz val="11"/>
      <scheme val="minor"/>
    </font>
    <font>
      <name val="Calibri"/>
      <family val="2"/>
      <b val="1"/>
      <color theme="1"/>
      <sz val="11"/>
      <scheme val="minor"/>
    </font>
    <font>
      <name val="Calibri"/>
      <family val="2"/>
      <b val="1"/>
      <color theme="0"/>
      <sz val="12"/>
      <scheme val="minor"/>
    </font>
    <font>
      <name val="Calibri"/>
      <family val="2"/>
      <color theme="1"/>
      <sz val="12"/>
      <scheme val="minor"/>
    </font>
    <font>
      <name val="Calibri"/>
      <family val="2"/>
      <b val="1"/>
      <color theme="1"/>
      <sz val="12"/>
      <scheme val="minor"/>
    </font>
    <font>
      <name val="Calibri"/>
      <family val="2"/>
      <b val="1"/>
      <color theme="1"/>
      <sz val="10"/>
      <scheme val="minor"/>
    </font>
    <font>
      <name val="Calibri"/>
      <family val="2"/>
      <color theme="1"/>
      <sz val="10"/>
      <scheme val="minor"/>
    </font>
    <font>
      <name val="Calibri"/>
      <family val="2"/>
      <b val="1"/>
      <color theme="0"/>
      <sz val="14"/>
      <scheme val="minor"/>
    </font>
    <font>
      <name val="Calibri"/>
      <family val="2"/>
      <b val="1"/>
      <color theme="1"/>
      <sz val="9"/>
      <scheme val="minor"/>
    </font>
  </fonts>
  <fills count="12">
    <fill>
      <patternFill/>
    </fill>
    <fill>
      <patternFill patternType="gray125"/>
    </fill>
    <fill>
      <patternFill patternType="solid">
        <fgColor rgb="FFB22B2E"/>
        <bgColor indexed="64"/>
      </patternFill>
    </fill>
    <fill>
      <patternFill patternType="solid">
        <fgColor rgb="FF1A3668"/>
        <bgColor indexed="64"/>
      </patternFill>
    </fill>
    <fill>
      <patternFill patternType="solid">
        <fgColor theme="0" tint="-0.499984740745262"/>
        <bgColor indexed="64"/>
      </patternFill>
    </fill>
    <fill>
      <patternFill patternType="solid">
        <fgColor theme="8" tint="0.5999938962981048"/>
        <bgColor indexed="64"/>
      </patternFill>
    </fill>
    <fill>
      <patternFill patternType="solid">
        <fgColor theme="0" tint="-0.1499984740745262"/>
        <bgColor indexed="64"/>
      </patternFill>
    </fill>
    <fill>
      <patternFill patternType="solid">
        <fgColor theme="8" tint="0.3999755851924192"/>
        <bgColor indexed="64"/>
      </patternFill>
    </fill>
    <fill>
      <patternFill patternType="solid">
        <fgColor rgb="FFC00000"/>
        <bgColor indexed="64"/>
      </patternFill>
    </fill>
    <fill>
      <patternFill patternType="solid">
        <fgColor theme="3" tint="0.7999816888943144"/>
        <bgColor indexed="64"/>
      </patternFill>
    </fill>
    <fill>
      <patternFill patternType="solid">
        <fgColor rgb="FFFFFFCC"/>
        <bgColor indexed="64"/>
      </patternFill>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double">
        <color rgb="FF1A3668"/>
      </left>
      <right style="thin">
        <color indexed="64"/>
      </right>
      <top style="double">
        <color rgb="FF1A3668"/>
      </top>
      <bottom style="thin">
        <color indexed="64"/>
      </bottom>
      <diagonal/>
    </border>
    <border>
      <left/>
      <right style="double">
        <color rgb="FF1A3668"/>
      </right>
      <top style="thin">
        <color indexed="64"/>
      </top>
      <bottom/>
      <diagonal/>
    </border>
    <border>
      <left/>
      <right style="double">
        <color rgb="FF1A3668"/>
      </right>
      <top/>
      <bottom/>
      <diagonal/>
    </border>
    <border>
      <left/>
      <right style="double">
        <color rgb="FF1A3668"/>
      </right>
      <top/>
      <bottom style="double">
        <color rgb="FF1A3668"/>
      </bottom>
      <diagonal/>
    </border>
    <border>
      <left style="double">
        <color rgb="FF1A3668"/>
      </left>
      <right style="thin">
        <color rgb="FF1A3668"/>
      </right>
      <top style="thin">
        <color indexed="64"/>
      </top>
      <bottom/>
      <diagonal/>
    </border>
    <border>
      <left style="double">
        <color rgb="FF1A3668"/>
      </left>
      <right style="thin">
        <color rgb="FF1A3668"/>
      </right>
      <top/>
      <bottom/>
      <diagonal/>
    </border>
    <border>
      <left style="double">
        <color rgb="FF1A3668"/>
      </left>
      <right style="thin">
        <color rgb="FF1A3668"/>
      </right>
      <top/>
      <bottom style="double">
        <color rgb="FF1A3668"/>
      </bottom>
      <diagonal/>
    </border>
    <border>
      <left/>
      <right style="double">
        <color indexed="64"/>
      </right>
      <top style="thin">
        <color indexed="64"/>
      </top>
      <bottom/>
      <diagonal/>
    </border>
    <border>
      <left/>
      <right style="double">
        <color indexed="64"/>
      </right>
      <top/>
      <bottom/>
      <diagonal/>
    </border>
    <border>
      <left/>
      <right style="double">
        <color indexed="64"/>
      </right>
      <top/>
      <bottom style="thin">
        <color indexed="64"/>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double">
        <color indexed="64"/>
      </left>
      <right style="thin">
        <color rgb="FF1A3668"/>
      </right>
      <top style="thin">
        <color indexed="64"/>
      </top>
      <bottom/>
      <diagonal/>
    </border>
    <border>
      <left style="double">
        <color indexed="64"/>
      </left>
      <right style="thin">
        <color rgb="FF1A3668"/>
      </right>
      <top/>
      <bottom/>
      <diagonal/>
    </border>
    <border>
      <left style="double">
        <color indexed="64"/>
      </left>
      <right style="thin">
        <color rgb="FF1A3668"/>
      </right>
      <top/>
      <bottom style="double">
        <color rgb="FF1A3668"/>
      </bottom>
      <diagonal/>
    </border>
    <border>
      <left/>
      <right style="double">
        <color indexed="64"/>
      </right>
      <top/>
      <bottom style="double">
        <color rgb="FF1A3668"/>
      </bottom>
      <diagonal/>
    </border>
    <border>
      <left style="double">
        <color rgb="FF1A3668"/>
      </left>
      <right style="thin">
        <color indexed="64"/>
      </right>
      <top/>
      <bottom/>
      <diagonal/>
    </border>
    <border>
      <left style="double">
        <color rgb="FF1A3668"/>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rgb="FF1A3668"/>
      </right>
      <top style="thin">
        <color indexed="64"/>
      </top>
      <bottom style="double">
        <color rgb="FF1A3668"/>
      </bottom>
      <diagonal/>
    </border>
    <border>
      <left/>
      <right style="double">
        <color indexed="64"/>
      </right>
      <top style="thin">
        <color indexed="64"/>
      </top>
      <bottom style="double">
        <color rgb="FF1A3668"/>
      </bottom>
      <diagonal/>
    </border>
    <border>
      <left/>
      <right style="thin">
        <color indexed="64"/>
      </right>
      <top style="double">
        <color rgb="FF1A3668"/>
      </top>
      <bottom/>
      <diagonal/>
    </border>
    <border>
      <left style="double">
        <color rgb="FF1A3668"/>
      </left>
      <right/>
      <top/>
      <bottom style="thin">
        <color indexed="64"/>
      </bottom>
      <diagonal/>
    </border>
    <border>
      <left/>
      <right style="thin">
        <color indexed="64"/>
      </right>
      <top/>
      <bottom style="thin">
        <color indexed="64"/>
      </bottom>
      <diagonal/>
    </border>
    <border>
      <left style="double">
        <color indexed="64"/>
      </left>
      <right style="thin">
        <color indexed="64"/>
      </right>
      <top style="double">
        <color indexed="64"/>
      </top>
      <bottom style="thin">
        <color indexed="64"/>
      </bottom>
      <diagonal/>
    </border>
    <border>
      <left/>
      <right style="double">
        <color indexed="64"/>
      </right>
      <top style="double">
        <color indexed="64"/>
      </top>
      <bottom style="thin">
        <color indexed="64"/>
      </bottom>
      <diagonal/>
    </border>
    <border>
      <left style="double">
        <color rgb="FF1A3668"/>
      </left>
      <right style="thin">
        <color rgb="FF1A3668"/>
      </right>
      <top style="thin">
        <color indexed="64"/>
      </top>
      <bottom style="double">
        <color rgb="FF1A3668"/>
      </bottom>
      <diagonal/>
    </border>
    <border>
      <left/>
      <right style="double">
        <color rgb="FF1A3668"/>
      </right>
      <top style="thin">
        <color indexed="64"/>
      </top>
      <bottom style="double">
        <color rgb="FF1A3668"/>
      </bottom>
      <diagonal/>
    </border>
    <border>
      <left style="double">
        <color rgb="FF1A3668"/>
      </left>
      <right style="thin">
        <color indexed="64"/>
      </right>
      <top style="double">
        <color indexed="64"/>
      </top>
      <bottom style="thin">
        <color indexed="64"/>
      </bottom>
      <diagonal/>
    </border>
    <border>
      <left/>
      <right style="thin">
        <color indexed="64"/>
      </right>
      <top style="thin">
        <color indexed="64"/>
      </top>
      <bottom/>
      <diagonal/>
    </border>
    <border>
      <left style="double">
        <color indexed="64"/>
      </left>
      <right/>
      <top/>
      <bottom/>
      <diagonal/>
    </border>
    <border>
      <left/>
      <right/>
      <top style="double">
        <color rgb="FF1A3668"/>
      </top>
      <bottom/>
      <diagonal/>
    </border>
    <border>
      <left style="double">
        <color rgb="FF1A3668"/>
      </left>
      <right/>
      <top/>
      <bottom/>
      <diagonal/>
    </border>
    <border>
      <left/>
      <right style="thin">
        <color indexed="64"/>
      </right>
      <top/>
      <bottom/>
      <diagonal/>
    </border>
  </borders>
  <cellStyleXfs count="2">
    <xf numFmtId="0" fontId="1" fillId="0" borderId="0"/>
    <xf numFmtId="9" fontId="1" fillId="0" borderId="0"/>
  </cellStyleXfs>
  <cellXfs count="158">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vertical="center"/>
    </xf>
    <xf numFmtId="164" fontId="0" fillId="0" borderId="0" applyAlignment="1" pivotButton="0" quotePrefix="0" xfId="0">
      <alignment horizontal="left" vertical="center"/>
    </xf>
    <xf numFmtId="164" fontId="0" fillId="0" borderId="0" applyAlignment="1" pivotButton="0" quotePrefix="0" xfId="0">
      <alignment vertical="center"/>
    </xf>
    <xf numFmtId="0" fontId="2" fillId="2" borderId="1" applyAlignment="1" pivotButton="0" quotePrefix="0" xfId="0">
      <alignment horizontal="left" vertical="center" wrapText="1"/>
    </xf>
    <xf numFmtId="0" fontId="2" fillId="2" borderId="1" applyAlignment="1" pivotButton="0" quotePrefix="0" xfId="0">
      <alignment horizontal="center" vertical="center" wrapText="1"/>
    </xf>
    <xf numFmtId="0" fontId="2" fillId="2" borderId="2" applyAlignment="1" pivotButton="0" quotePrefix="0" xfId="0">
      <alignment horizontal="center" vertical="center" wrapText="1"/>
    </xf>
    <xf numFmtId="1" fontId="2" fillId="2" borderId="1" applyAlignment="1" pivotButton="0" quotePrefix="0" xfId="0">
      <alignment horizontal="center" vertical="center" wrapText="1"/>
    </xf>
    <xf numFmtId="164" fontId="8" fillId="0" borderId="1" applyAlignment="1" pivotButton="0" quotePrefix="0" xfId="0">
      <alignment horizontal="center" vertical="center"/>
    </xf>
    <xf numFmtId="0" fontId="8" fillId="0" borderId="1" applyAlignment="1" pivotButton="0" quotePrefix="0" xfId="0">
      <alignment horizontal="left" vertical="center"/>
    </xf>
    <xf numFmtId="10" fontId="8" fillId="5" borderId="1" applyAlignment="1" applyProtection="1" pivotButton="0" quotePrefix="0" xfId="1">
      <alignment horizontal="center" vertical="center"/>
      <protection locked="0" hidden="0"/>
    </xf>
    <xf numFmtId="164" fontId="8" fillId="0" borderId="1" applyAlignment="1" pivotButton="0" quotePrefix="0" xfId="0">
      <alignment horizontal="left" vertical="center"/>
    </xf>
    <xf numFmtId="0" fontId="8" fillId="0" borderId="1" applyAlignment="1" pivotButton="0" quotePrefix="0" xfId="0">
      <alignment vertical="center"/>
    </xf>
    <xf numFmtId="0" fontId="3" fillId="0" borderId="1" applyAlignment="1" pivotButton="0" quotePrefix="0" xfId="0">
      <alignment vertical="center"/>
    </xf>
    <xf numFmtId="0" fontId="0" fillId="5" borderId="1" applyAlignment="1" applyProtection="1" pivotButton="0" quotePrefix="0" xfId="0">
      <alignment horizontal="center" vertical="center"/>
      <protection locked="0" hidden="0"/>
    </xf>
    <xf numFmtId="0" fontId="5" fillId="0" borderId="0" applyAlignment="1" pivotButton="0" quotePrefix="0" xfId="0">
      <alignment vertical="center"/>
    </xf>
    <xf numFmtId="164" fontId="5" fillId="0" borderId="0" applyAlignment="1" pivotButton="0" quotePrefix="0" xfId="0">
      <alignment vertical="center"/>
    </xf>
    <xf numFmtId="165" fontId="0" fillId="5" borderId="1" applyAlignment="1" applyProtection="1" pivotButton="0" quotePrefix="0" xfId="0">
      <alignment horizontal="center" vertical="center"/>
      <protection locked="0" hidden="0"/>
    </xf>
    <xf numFmtId="165" fontId="0" fillId="0" borderId="1" applyAlignment="1" pivotButton="0" quotePrefix="0" xfId="0">
      <alignment horizontal="center" vertical="center"/>
    </xf>
    <xf numFmtId="0" fontId="5" fillId="0" borderId="0" applyAlignment="1" pivotButton="0" quotePrefix="0" xfId="0">
      <alignment vertical="center" wrapText="1"/>
    </xf>
    <xf numFmtId="164" fontId="5" fillId="0" borderId="0" applyAlignment="1" pivotButton="0" quotePrefix="0" xfId="0">
      <alignment vertical="center" wrapText="1"/>
    </xf>
    <xf numFmtId="166" fontId="8" fillId="0" borderId="1" applyAlignment="1" pivotButton="0" quotePrefix="0" xfId="1">
      <alignment horizontal="center" vertical="center"/>
    </xf>
    <xf numFmtId="1" fontId="8" fillId="5" borderId="1" applyAlignment="1" applyProtection="1" pivotButton="0" quotePrefix="0" xfId="0">
      <alignment horizontal="center" vertical="center"/>
      <protection locked="0" hidden="0"/>
    </xf>
    <xf numFmtId="164" fontId="8" fillId="0" borderId="1" applyAlignment="1" pivotButton="0" quotePrefix="0" xfId="0">
      <alignment vertical="center"/>
    </xf>
    <xf numFmtId="0" fontId="2" fillId="4" borderId="2" applyAlignment="1" pivotButton="0" quotePrefix="0" xfId="0">
      <alignment vertical="center" wrapText="1"/>
    </xf>
    <xf numFmtId="0" fontId="2" fillId="4" borderId="4" applyAlignment="1" pivotButton="0" quotePrefix="0" xfId="0">
      <alignment vertical="center"/>
    </xf>
    <xf numFmtId="0" fontId="2" fillId="4" borderId="4" applyAlignment="1" pivotButton="0" quotePrefix="0" xfId="0">
      <alignment horizontal="center" vertical="center"/>
    </xf>
    <xf numFmtId="0" fontId="2" fillId="4" borderId="3" applyAlignment="1" pivotButton="0" quotePrefix="0" xfId="0">
      <alignment vertical="center"/>
    </xf>
    <xf numFmtId="166" fontId="0" fillId="0" borderId="0" applyAlignment="1" pivotButton="0" quotePrefix="0" xfId="1">
      <alignment horizontal="center" vertical="center"/>
    </xf>
    <xf numFmtId="164" fontId="0" fillId="0" borderId="0" applyAlignment="1" pivotButton="0" quotePrefix="0" xfId="0">
      <alignment horizontal="center" vertical="center"/>
    </xf>
    <xf numFmtId="1" fontId="3" fillId="0" borderId="0" applyAlignment="1" pivotButton="0" quotePrefix="0" xfId="0">
      <alignment horizontal="center" vertical="center"/>
    </xf>
    <xf numFmtId="166" fontId="0" fillId="0" borderId="2" applyAlignment="1" pivotButton="0" quotePrefix="0" xfId="1">
      <alignment vertical="center"/>
    </xf>
    <xf numFmtId="0" fontId="0" fillId="7" borderId="1"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3" borderId="2" applyAlignment="1" pivotButton="0" quotePrefix="0" xfId="0">
      <alignment vertical="center"/>
    </xf>
    <xf numFmtId="0" fontId="2" fillId="3" borderId="4" applyAlignment="1" pivotButton="0" quotePrefix="0" xfId="0">
      <alignment vertical="center"/>
    </xf>
    <xf numFmtId="0" fontId="2" fillId="3" borderId="3"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7" fillId="0" borderId="2" applyAlignment="1" pivotButton="0" quotePrefix="0" xfId="0">
      <alignment vertical="center"/>
    </xf>
    <xf numFmtId="0" fontId="7" fillId="0" borderId="4" applyAlignment="1" pivotButton="0" quotePrefix="0" xfId="0">
      <alignment vertical="center"/>
    </xf>
    <xf numFmtId="164" fontId="7" fillId="0" borderId="1" applyAlignment="1" pivotButton="0" quotePrefix="0" xfId="0">
      <alignment vertical="center"/>
    </xf>
    <xf numFmtId="164" fontId="3" fillId="0" borderId="0" applyAlignment="1" pivotButton="0" quotePrefix="0" xfId="0">
      <alignment vertical="center"/>
    </xf>
    <xf numFmtId="0" fontId="8" fillId="0" borderId="2" applyAlignment="1" pivotButton="0" quotePrefix="0" xfId="0">
      <alignment vertical="center" wrapText="1"/>
    </xf>
    <xf numFmtId="0" fontId="8" fillId="0" borderId="4" applyAlignment="1" pivotButton="0" quotePrefix="0" xfId="0">
      <alignment vertical="center" wrapText="1"/>
    </xf>
    <xf numFmtId="164" fontId="8" fillId="0" borderId="1" applyAlignment="1" pivotButton="0" quotePrefix="0" xfId="0">
      <alignment vertical="center" wrapText="1"/>
    </xf>
    <xf numFmtId="164" fontId="0" fillId="0" borderId="0" applyAlignment="1" pivotButton="0" quotePrefix="0" xfId="0">
      <alignment vertical="center" wrapText="1"/>
    </xf>
    <xf numFmtId="0" fontId="8" fillId="0" borderId="2" applyAlignment="1" pivotButton="0" quotePrefix="0" xfId="0">
      <alignment vertical="center"/>
    </xf>
    <xf numFmtId="0" fontId="8" fillId="0" borderId="4" applyAlignment="1" pivotButton="0" quotePrefix="0" xfId="0">
      <alignment vertical="center"/>
    </xf>
    <xf numFmtId="167" fontId="0" fillId="0" borderId="0" applyAlignment="1" pivotButton="0" quotePrefix="0" xfId="0">
      <alignment vertical="center"/>
    </xf>
    <xf numFmtId="0" fontId="7" fillId="6" borderId="2" applyAlignment="1" pivotButton="0" quotePrefix="0" xfId="0">
      <alignment vertical="center"/>
    </xf>
    <xf numFmtId="0" fontId="7" fillId="6" borderId="4" applyAlignment="1" pivotButton="0" quotePrefix="0" xfId="0">
      <alignment vertical="center"/>
    </xf>
    <xf numFmtId="164" fontId="7" fillId="6" borderId="1" applyAlignment="1" pivotButton="0" quotePrefix="0" xfId="0">
      <alignment vertical="center"/>
    </xf>
    <xf numFmtId="0" fontId="2" fillId="3" borderId="1" applyAlignment="1" pivotButton="0" quotePrefix="0" xfId="0">
      <alignment vertical="center"/>
    </xf>
    <xf numFmtId="0" fontId="3" fillId="0" borderId="0" applyAlignment="1" pivotButton="0" quotePrefix="0" xfId="0">
      <alignment horizontal="left" vertical="center"/>
    </xf>
    <xf numFmtId="164" fontId="3" fillId="0" borderId="0" applyAlignment="1" pivotButton="0" quotePrefix="0" xfId="0">
      <alignment horizontal="center" vertical="center"/>
    </xf>
    <xf numFmtId="0" fontId="0" fillId="0" borderId="5" applyAlignment="1" pivotButton="0" quotePrefix="0" xfId="0">
      <alignment vertical="center"/>
    </xf>
    <xf numFmtId="164" fontId="0" fillId="0" borderId="5" applyAlignment="1" pivotButton="0" quotePrefix="0" xfId="0">
      <alignment vertical="center"/>
    </xf>
    <xf numFmtId="0" fontId="3" fillId="0" borderId="0" applyAlignment="1" pivotButton="0" quotePrefix="0" xfId="1">
      <alignment horizontal="left" vertical="center"/>
    </xf>
    <xf numFmtId="0" fontId="3" fillId="0" borderId="0" applyAlignment="1" pivotButton="0" quotePrefix="0" xfId="0">
      <alignment horizontal="right" vertical="center"/>
    </xf>
    <xf numFmtId="0" fontId="6" fillId="0" borderId="0" applyAlignment="1" pivotButton="0" quotePrefix="0" xfId="0">
      <alignment horizontal="left" vertical="center"/>
    </xf>
    <xf numFmtId="166" fontId="8" fillId="0" borderId="2" applyAlignment="1" pivotButton="0" quotePrefix="0" xfId="1">
      <alignment horizontal="center" vertical="center"/>
    </xf>
    <xf numFmtId="10" fontId="8" fillId="5" borderId="2" applyAlignment="1" applyProtection="1" pivotButton="0" quotePrefix="0" xfId="1">
      <alignment horizontal="center" vertical="center"/>
      <protection locked="0" hidden="0"/>
    </xf>
    <xf numFmtId="167" fontId="0" fillId="0" borderId="0" applyAlignment="1" pivotButton="0" quotePrefix="0" xfId="0">
      <alignment horizontal="left" vertical="center"/>
    </xf>
    <xf numFmtId="10" fontId="8" fillId="0" borderId="1" applyAlignment="1" pivotButton="0" quotePrefix="0" xfId="1">
      <alignment horizontal="center" vertical="center"/>
    </xf>
    <xf numFmtId="10" fontId="0" fillId="0" borderId="0" pivotButton="0" quotePrefix="0" xfId="0"/>
    <xf numFmtId="164" fontId="8" fillId="5" borderId="1" applyAlignment="1" applyProtection="1" pivotButton="0" quotePrefix="0" xfId="0">
      <alignment horizontal="left" vertical="center"/>
      <protection locked="0" hidden="0"/>
    </xf>
    <xf numFmtId="164" fontId="3" fillId="6" borderId="1" pivotButton="0" quotePrefix="0" xfId="0"/>
    <xf numFmtId="10" fontId="8" fillId="11" borderId="1" applyAlignment="1" applyProtection="1" pivotButton="0" quotePrefix="0" xfId="1">
      <alignment horizontal="center" vertical="center"/>
      <protection locked="0" hidden="0"/>
    </xf>
    <xf numFmtId="43" fontId="0" fillId="0" borderId="1" applyAlignment="1" pivotButton="0" quotePrefix="0" xfId="0">
      <alignment vertical="center"/>
    </xf>
    <xf numFmtId="165" fontId="0" fillId="5" borderId="1" applyAlignment="1" applyProtection="1" pivotButton="0" quotePrefix="0" xfId="0">
      <alignment horizontal="center" vertical="center"/>
      <protection locked="0" hidden="0"/>
    </xf>
    <xf numFmtId="0" fontId="0" fillId="0" borderId="4" applyProtection="1" pivotButton="0" quotePrefix="0" xfId="0">
      <protection locked="0" hidden="0"/>
    </xf>
    <xf numFmtId="0" fontId="0" fillId="0" borderId="3" applyProtection="1" pivotButton="0" quotePrefix="0" xfId="0">
      <protection locked="0" hidden="0"/>
    </xf>
    <xf numFmtId="0" fontId="9" fillId="3" borderId="1" applyAlignment="1" pivotButton="0" quotePrefix="0" xfId="0">
      <alignment horizontal="center" vertical="center"/>
    </xf>
    <xf numFmtId="0" fontId="0" fillId="0" borderId="4" pivotButton="0" quotePrefix="0" xfId="0"/>
    <xf numFmtId="0" fontId="0" fillId="0" borderId="3" pivotButton="0" quotePrefix="0" xfId="0"/>
    <xf numFmtId="0" fontId="4" fillId="3" borderId="6" applyAlignment="1" pivotButton="0" quotePrefix="0" xfId="0">
      <alignment horizontal="center" vertical="center"/>
    </xf>
    <xf numFmtId="0" fontId="0" fillId="0" borderId="6" pivotButton="0" quotePrefix="0" xfId="0"/>
    <xf numFmtId="0" fontId="0" fillId="5" borderId="1" applyAlignment="1" applyProtection="1" pivotButton="0" quotePrefix="0" xfId="0">
      <alignment horizontal="center" vertical="center"/>
      <protection locked="0" hidden="0"/>
    </xf>
    <xf numFmtId="164" fontId="8" fillId="0" borderId="1" applyAlignment="1" pivotButton="0" quotePrefix="0" xfId="0">
      <alignment horizontal="center" vertical="center"/>
    </xf>
    <xf numFmtId="0" fontId="2" fillId="4" borderId="1" applyAlignment="1" pivotButton="0" quotePrefix="0" xfId="0">
      <alignment horizontal="left" vertical="center" wrapText="1"/>
    </xf>
    <xf numFmtId="1" fontId="8" fillId="0" borderId="1" applyAlignment="1" pivotButton="0" quotePrefix="0" xfId="0">
      <alignment horizontal="left" vertical="center" indent="1"/>
    </xf>
    <xf numFmtId="0" fontId="0" fillId="0" borderId="1" applyAlignment="1" pivotButton="0" quotePrefix="0" xfId="0">
      <alignment horizontal="center" vertical="center"/>
    </xf>
    <xf numFmtId="164" fontId="2" fillId="8" borderId="7" applyAlignment="1" pivotButton="0" quotePrefix="0" xfId="0">
      <alignment horizontal="center" vertical="center" wrapText="1"/>
    </xf>
    <xf numFmtId="0" fontId="0" fillId="0" borderId="29" pivotButton="0" quotePrefix="0" xfId="0"/>
    <xf numFmtId="0" fontId="0" fillId="0" borderId="30" pivotButton="0" quotePrefix="0" xfId="0"/>
    <xf numFmtId="0" fontId="0" fillId="0" borderId="31" pivotButton="0" quotePrefix="0" xfId="0"/>
    <xf numFmtId="165" fontId="0" fillId="0" borderId="1" applyAlignment="1" pivotButton="0" quotePrefix="0" xfId="0">
      <alignment horizontal="center" vertical="center"/>
    </xf>
    <xf numFmtId="0" fontId="2" fillId="2" borderId="1" applyAlignment="1" pivotButton="0" quotePrefix="0" xfId="0">
      <alignment horizontal="center" vertical="center" wrapText="1"/>
    </xf>
    <xf numFmtId="164" fontId="8" fillId="5" borderId="1" applyAlignment="1" applyProtection="1" pivotButton="0" quotePrefix="0" xfId="0">
      <alignment horizontal="center" vertical="center"/>
      <protection locked="0" hidden="0"/>
    </xf>
    <xf numFmtId="0" fontId="3" fillId="6" borderId="1" applyAlignment="1" pivotButton="0" quotePrefix="0" xfId="0">
      <alignment horizontal="left"/>
    </xf>
    <xf numFmtId="0" fontId="8" fillId="0" borderId="0" applyAlignment="1" pivotButton="0" quotePrefix="0" xfId="0">
      <alignment horizontal="left" vertical="center" wrapText="1"/>
    </xf>
    <xf numFmtId="166" fontId="0" fillId="0" borderId="0" applyAlignment="1" pivotButton="0" quotePrefix="0" xfId="1">
      <alignment horizontal="center" vertical="center"/>
    </xf>
    <xf numFmtId="164" fontId="0" fillId="0" borderId="0" applyAlignment="1" pivotButton="0" quotePrefix="0" xfId="0">
      <alignment vertical="center"/>
    </xf>
    <xf numFmtId="1" fontId="3"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5" pivotButton="0" quotePrefix="0" xfId="0"/>
    <xf numFmtId="0" fontId="0" fillId="3" borderId="1" applyAlignment="1" pivotButton="0" quotePrefix="0" xfId="0">
      <alignment horizontal="center" vertical="center"/>
    </xf>
    <xf numFmtId="0" fontId="10" fillId="0" borderId="25" applyAlignment="1" pivotButton="0" quotePrefix="0" xfId="0">
      <alignment horizontal="center" vertical="center" wrapText="1"/>
    </xf>
    <xf numFmtId="0" fontId="0" fillId="0" borderId="17" pivotButton="0" quotePrefix="0" xfId="0"/>
    <xf numFmtId="0" fontId="0" fillId="0" borderId="18" pivotButton="0" quotePrefix="0" xfId="0"/>
    <xf numFmtId="164" fontId="10" fillId="0" borderId="26" applyAlignment="1" pivotButton="0" quotePrefix="0" xfId="0">
      <alignment horizontal="center" vertical="center"/>
    </xf>
    <xf numFmtId="0" fontId="0" fillId="0" borderId="15" pivotButton="0" quotePrefix="0" xfId="0"/>
    <xf numFmtId="0" fontId="0" fillId="0" borderId="16" pivotButton="0" quotePrefix="0" xfId="0"/>
    <xf numFmtId="0" fontId="10" fillId="9" borderId="11" applyAlignment="1" pivotButton="0" quotePrefix="0" xfId="0">
      <alignment horizontal="center" vertical="center" wrapText="1"/>
    </xf>
    <xf numFmtId="0" fontId="0" fillId="0" borderId="12" pivotButton="0" quotePrefix="0" xfId="0"/>
    <xf numFmtId="164" fontId="10" fillId="9" borderId="8" applyAlignment="1" pivotButton="0" quotePrefix="0" xfId="0">
      <alignment horizontal="center" vertical="center"/>
    </xf>
    <xf numFmtId="0" fontId="0" fillId="0" borderId="9" pivotButton="0" quotePrefix="0" xfId="0"/>
    <xf numFmtId="0" fontId="10" fillId="9" borderId="34" applyAlignment="1" pivotButton="0" quotePrefix="0" xfId="0">
      <alignment horizontal="center" vertical="center" wrapText="1"/>
    </xf>
    <xf numFmtId="0" fontId="0" fillId="0" borderId="13" pivotButton="0" quotePrefix="0" xfId="0"/>
    <xf numFmtId="164" fontId="10" fillId="9" borderId="35" applyAlignment="1" pivotButton="0" quotePrefix="0" xfId="0">
      <alignment horizontal="center" vertical="center"/>
    </xf>
    <xf numFmtId="0" fontId="0" fillId="0" borderId="10" pivotButton="0" quotePrefix="0" xfId="0"/>
    <xf numFmtId="0" fontId="10" fillId="10" borderId="36" applyAlignment="1" pivotButton="0" quotePrefix="0" xfId="0">
      <alignment horizontal="center" vertical="center" wrapText="1"/>
    </xf>
    <xf numFmtId="0" fontId="0" fillId="0" borderId="23" pivotButton="0" quotePrefix="0" xfId="0"/>
    <xf numFmtId="0" fontId="0" fillId="0" borderId="24" pivotButton="0" quotePrefix="0" xfId="0"/>
    <xf numFmtId="164" fontId="10" fillId="10" borderId="26" applyAlignment="1" pivotButton="0" quotePrefix="0" xfId="0">
      <alignment horizontal="center" vertical="center"/>
    </xf>
    <xf numFmtId="0" fontId="10" fillId="9" borderId="19" applyAlignment="1" pivotButton="0" quotePrefix="0" xfId="0">
      <alignment horizontal="center" vertical="center" wrapText="1"/>
    </xf>
    <xf numFmtId="0" fontId="0" fillId="0" borderId="20" pivotButton="0" quotePrefix="0" xfId="0"/>
    <xf numFmtId="164" fontId="10" fillId="9" borderId="14" applyAlignment="1" pivotButton="0" quotePrefix="0" xfId="0">
      <alignment horizontal="center" vertical="center"/>
    </xf>
    <xf numFmtId="0" fontId="10" fillId="9" borderId="27" applyAlignment="1" pivotButton="0" quotePrefix="0" xfId="0">
      <alignment horizontal="center" vertical="center" wrapText="1"/>
    </xf>
    <xf numFmtId="0" fontId="0" fillId="0" borderId="21" pivotButton="0" quotePrefix="0" xfId="0"/>
    <xf numFmtId="164" fontId="10" fillId="9" borderId="28" applyAlignment="1" pivotButton="0" quotePrefix="0" xfId="0">
      <alignment horizontal="center" vertical="center"/>
    </xf>
    <xf numFmtId="0" fontId="0" fillId="0" borderId="22" pivotButton="0" quotePrefix="0" xfId="0"/>
    <xf numFmtId="0" fontId="10" fillId="10" borderId="32" applyAlignment="1" pivotButton="0" quotePrefix="0" xfId="0">
      <alignment horizontal="center" vertical="center" wrapText="1"/>
    </xf>
    <xf numFmtId="164" fontId="10" fillId="10" borderId="33" applyAlignment="1" pivotButton="0" quotePrefix="0" xfId="0">
      <alignment horizontal="center" vertical="center"/>
    </xf>
    <xf numFmtId="0" fontId="0" fillId="5" borderId="2" applyAlignment="1" applyProtection="1" pivotButton="0" quotePrefix="0" xfId="0">
      <alignment horizontal="center" vertical="center"/>
      <protection locked="0" hidden="0"/>
    </xf>
    <xf numFmtId="0" fontId="0" fillId="0" borderId="4" pivotButton="0" quotePrefix="0" xfId="0"/>
    <xf numFmtId="0" fontId="0" fillId="0" borderId="3" pivotButton="0" quotePrefix="0" xfId="0"/>
    <xf numFmtId="164" fontId="0" fillId="0" borderId="0" applyAlignment="1" pivotButton="0" quotePrefix="0" xfId="0">
      <alignment vertical="center"/>
    </xf>
    <xf numFmtId="164" fontId="5" fillId="0" borderId="0" applyAlignment="1" pivotButton="0" quotePrefix="0" xfId="0">
      <alignment vertical="center"/>
    </xf>
    <xf numFmtId="164" fontId="5" fillId="0" borderId="0" applyAlignment="1" pivotButton="0" quotePrefix="0" xfId="0">
      <alignment vertical="center" wrapText="1"/>
    </xf>
    <xf numFmtId="164" fontId="8" fillId="0" borderId="1" applyAlignment="1" pivotButton="0" quotePrefix="0" xfId="0">
      <alignment horizontal="center" vertical="center"/>
    </xf>
    <xf numFmtId="164" fontId="8" fillId="0" borderId="1" applyAlignment="1" pivotButton="0" quotePrefix="0" xfId="0">
      <alignment vertical="center"/>
    </xf>
    <xf numFmtId="164" fontId="8" fillId="5" borderId="1" applyAlignment="1" applyProtection="1" pivotButton="0" quotePrefix="0" xfId="0">
      <alignment horizontal="center" vertical="center"/>
      <protection locked="0" hidden="0"/>
    </xf>
    <xf numFmtId="164" fontId="8" fillId="0" borderId="1" applyAlignment="1" pivotButton="0" quotePrefix="0" xfId="0">
      <alignment horizontal="left" vertical="center"/>
    </xf>
    <xf numFmtId="167" fontId="0" fillId="0" borderId="0" applyAlignment="1" pivotButton="0" quotePrefix="0" xfId="0">
      <alignment horizontal="left" vertical="center"/>
    </xf>
    <xf numFmtId="164" fontId="0" fillId="0" borderId="0" applyAlignment="1" pivotButton="0" quotePrefix="0" xfId="0">
      <alignment horizontal="left" vertical="center"/>
    </xf>
    <xf numFmtId="164" fontId="0" fillId="0" borderId="0" applyAlignment="1" pivotButton="0" quotePrefix="0" xfId="0">
      <alignment horizontal="center" vertical="center"/>
    </xf>
    <xf numFmtId="164" fontId="2" fillId="8" borderId="7" applyAlignment="1" pivotButton="0" quotePrefix="0" xfId="0">
      <alignment horizontal="center" vertical="center" wrapText="1"/>
    </xf>
    <xf numFmtId="164" fontId="7" fillId="0" borderId="1" applyAlignment="1" pivotButton="0" quotePrefix="0" xfId="0">
      <alignment vertical="center"/>
    </xf>
    <xf numFmtId="164" fontId="3" fillId="0" borderId="0" applyAlignment="1" pivotButton="0" quotePrefix="0" xfId="0">
      <alignment vertical="center"/>
    </xf>
    <xf numFmtId="164" fontId="10" fillId="10" borderId="33" applyAlignment="1" pivotButton="0" quotePrefix="0" xfId="0">
      <alignment horizontal="center" vertical="center"/>
    </xf>
    <xf numFmtId="164" fontId="8" fillId="0" borderId="1" applyAlignment="1" pivotButton="0" quotePrefix="0" xfId="0">
      <alignment vertical="center" wrapText="1"/>
    </xf>
    <xf numFmtId="164" fontId="0" fillId="0" borderId="0" applyAlignment="1" pivotButton="0" quotePrefix="0" xfId="0">
      <alignment vertical="center" wrapText="1"/>
    </xf>
    <xf numFmtId="167" fontId="0" fillId="0" borderId="0" applyAlignment="1" pivotButton="0" quotePrefix="0" xfId="0">
      <alignment vertical="center"/>
    </xf>
    <xf numFmtId="164" fontId="7" fillId="6" borderId="1" applyAlignment="1" pivotButton="0" quotePrefix="0" xfId="0">
      <alignment vertical="center"/>
    </xf>
    <xf numFmtId="164" fontId="10" fillId="0" borderId="26" applyAlignment="1" pivotButton="0" quotePrefix="0" xfId="0">
      <alignment horizontal="center" vertical="center"/>
    </xf>
    <xf numFmtId="164" fontId="10" fillId="9" borderId="14" applyAlignment="1" pivotButton="0" quotePrefix="0" xfId="0">
      <alignment horizontal="center" vertical="center"/>
    </xf>
    <xf numFmtId="164" fontId="3" fillId="0" borderId="0" applyAlignment="1" pivotButton="0" quotePrefix="0" xfId="0">
      <alignment horizontal="center" vertical="center"/>
    </xf>
    <xf numFmtId="164" fontId="10" fillId="9" borderId="28" applyAlignment="1" pivotButton="0" quotePrefix="0" xfId="0">
      <alignment horizontal="center" vertical="center"/>
    </xf>
    <xf numFmtId="164" fontId="0" fillId="0" borderId="5" applyAlignment="1" pivotButton="0" quotePrefix="0" xfId="0">
      <alignment vertical="center"/>
    </xf>
    <xf numFmtId="164" fontId="8" fillId="5" borderId="1" applyAlignment="1" applyProtection="1" pivotButton="0" quotePrefix="0" xfId="0">
      <alignment horizontal="left" vertical="center"/>
      <protection locked="0" hidden="0"/>
    </xf>
    <xf numFmtId="43" fontId="0" fillId="0" borderId="1" applyAlignment="1" pivotButton="0" quotePrefix="0" xfId="0">
      <alignment vertical="center"/>
    </xf>
    <xf numFmtId="164" fontId="10" fillId="10" borderId="26" applyAlignment="1" pivotButton="0" quotePrefix="0" xfId="0">
      <alignment horizontal="center" vertical="center"/>
    </xf>
    <xf numFmtId="164" fontId="3" fillId="6" borderId="1" pivotButton="0" quotePrefix="0" xfId="0"/>
    <xf numFmtId="164" fontId="10" fillId="9" borderId="8" applyAlignment="1" pivotButton="0" quotePrefix="0" xfId="0">
      <alignment horizontal="center" vertical="center"/>
    </xf>
    <xf numFmtId="164" fontId="10" fillId="9" borderId="35" applyAlignment="1" pivotButton="0" quotePrefix="0" xfId="0">
      <alignment horizontal="center" vertical="center"/>
    </xf>
  </cellXfs>
  <cellStyles count="2">
    <cellStyle name="Normal" xfId="0" builtinId="0"/>
    <cellStyle name="Percent" xfId="1" builtinId="5"/>
  </cellStyles>
  <dxfs count="4">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Dell</author>
  </authors>
  <commentList>
    <comment ref="D15" authorId="0" shapeId="0">
      <text>
        <t xml:space="preserve">Dell:
</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C00000"/>
    <outlinePr summaryBelow="1" summaryRight="1"/>
    <pageSetUpPr fitToPage="1"/>
  </sheetPr>
  <dimension ref="A1:L48"/>
  <sheetViews>
    <sheetView zoomScaleNormal="100" workbookViewId="0">
      <pane ySplit="2" topLeftCell="A3" activePane="bottomLeft" state="frozen"/>
      <selection activeCell="D8" sqref="D8:E8"/>
      <selection pane="bottomLeft" activeCell="D8" sqref="D8:E8"/>
    </sheetView>
  </sheetViews>
  <sheetFormatPr baseColWidth="8" defaultColWidth="9.1796875" defaultRowHeight="14.5"/>
  <cols>
    <col width="41.7265625" customWidth="1" style="2" min="1" max="1"/>
    <col width="8.7265625" bestFit="1" customWidth="1" style="93" min="2" max="2"/>
    <col hidden="1" width="8.7265625" customWidth="1" style="93" min="3" max="3"/>
    <col width="14.26953125" customWidth="1" style="129" min="4" max="4"/>
    <col width="3.1796875" customWidth="1" style="129" min="5" max="5"/>
    <col width="15.26953125" customWidth="1" style="95" min="6" max="6"/>
    <col width="14.26953125" customWidth="1" style="129" min="7" max="7"/>
    <col width="9.54296875" bestFit="1" customWidth="1" style="2" min="8" max="8"/>
    <col width="10.54296875" bestFit="1" customWidth="1" style="2" min="9" max="9"/>
    <col width="13.7265625" bestFit="1" customWidth="1" style="129" min="10" max="10"/>
    <col width="9.1796875" customWidth="1" style="2" min="11" max="11"/>
    <col width="11.26953125" bestFit="1" customWidth="1" style="2" min="12" max="12"/>
    <col width="9.1796875" customWidth="1" style="2" min="13" max="13"/>
    <col width="9.1796875" customWidth="1" style="2" min="14" max="16384"/>
  </cols>
  <sheetData>
    <row r="1" ht="18.5" customHeight="1">
      <c r="A1" s="74" t="inlineStr">
        <is>
          <t>RESIDENTIAL CALCULATION</t>
        </is>
      </c>
      <c r="B1" s="127" t="n"/>
      <c r="C1" s="127" t="n"/>
      <c r="D1" s="127" t="n"/>
      <c r="E1" s="127" t="n"/>
      <c r="F1" s="127" t="n"/>
      <c r="G1" s="128" t="n"/>
    </row>
    <row r="2" ht="15.5" customHeight="1">
      <c r="A2" s="77" t="inlineStr">
        <is>
          <t>PLACEMENT &amp; MANAGEMENT %   -   RENT IN OWNER'S POCKET</t>
        </is>
      </c>
      <c r="B2" s="78" t="n"/>
      <c r="C2" s="78" t="n"/>
      <c r="D2" s="78" t="n"/>
      <c r="E2" s="78" t="n"/>
      <c r="F2" s="78" t="n"/>
      <c r="G2" s="78" t="n"/>
    </row>
    <row r="4" ht="15.5" customFormat="1" customHeight="1" s="16">
      <c r="A4" s="14" t="inlineStr">
        <is>
          <t>UNIT NUMBER</t>
        </is>
      </c>
      <c r="B4" s="79" t="n"/>
      <c r="C4" s="72" t="n"/>
      <c r="D4" s="72" t="n"/>
      <c r="E4" s="72" t="n"/>
      <c r="F4" s="72" t="n"/>
      <c r="G4" s="73" t="n"/>
      <c r="J4" s="130" t="n"/>
    </row>
    <row r="5" ht="15.5" customFormat="1" customHeight="1" s="16">
      <c r="A5" s="14" t="inlineStr">
        <is>
          <t>COMPLEX NAME</t>
        </is>
      </c>
      <c r="B5" s="79" t="n"/>
      <c r="C5" s="72" t="n"/>
      <c r="D5" s="72" t="n"/>
      <c r="E5" s="72" t="n"/>
      <c r="F5" s="72" t="n"/>
      <c r="G5" s="73" t="n"/>
      <c r="J5" s="130" t="n"/>
      <c r="L5" s="130" t="n"/>
    </row>
    <row r="6" ht="15.5" customFormat="1" customHeight="1" s="16">
      <c r="A6" s="14" t="inlineStr">
        <is>
          <t>PROPERTY ADDRESS</t>
        </is>
      </c>
      <c r="B6" s="79" t="n"/>
      <c r="C6" s="72" t="n"/>
      <c r="D6" s="72" t="n"/>
      <c r="E6" s="72" t="n"/>
      <c r="F6" s="72" t="n"/>
      <c r="G6" s="73" t="n"/>
      <c r="J6" s="130" t="n"/>
    </row>
    <row r="7" ht="15.5" customFormat="1" customHeight="1" s="16">
      <c r="A7" s="14" t="inlineStr">
        <is>
          <t>DATE</t>
        </is>
      </c>
      <c r="B7" s="71" t="n"/>
      <c r="C7" s="72" t="n"/>
      <c r="D7" s="72" t="n"/>
      <c r="E7" s="72" t="n"/>
      <c r="F7" s="72" t="n"/>
      <c r="G7" s="73" t="n"/>
      <c r="J7" s="130" t="n"/>
    </row>
    <row r="8" ht="15.5" customFormat="1" customHeight="1" s="16">
      <c r="A8" s="14" t="inlineStr">
        <is>
          <t>OCCUPATION DATE</t>
        </is>
      </c>
      <c r="B8" s="79" t="n">
        <v>1</v>
      </c>
      <c r="C8" s="79" t="n"/>
      <c r="D8" s="88" t="inlineStr">
        <is>
          <t>DAY</t>
        </is>
      </c>
      <c r="E8" s="128" t="n"/>
      <c r="F8" s="71" t="inlineStr">
        <is>
          <t>June</t>
        </is>
      </c>
      <c r="G8" s="88" t="inlineStr">
        <is>
          <t>MONTH</t>
        </is>
      </c>
      <c r="J8" s="130" t="n"/>
    </row>
    <row r="10" ht="30" customFormat="1" customHeight="1" s="20">
      <c r="A10" s="5" t="inlineStr">
        <is>
          <t>PLACEMENT AND MANAGEMENT FEES</t>
        </is>
      </c>
      <c r="B10" s="89" t="inlineStr">
        <is>
          <t>EXCL VAT</t>
        </is>
      </c>
      <c r="C10" s="7" t="n"/>
      <c r="D10" s="89" t="inlineStr">
        <is>
          <t>MONTHLY</t>
        </is>
      </c>
      <c r="E10" s="128" t="n"/>
      <c r="F10" s="8" t="inlineStr">
        <is>
          <t>TERM</t>
        </is>
      </c>
      <c r="G10" s="89" t="inlineStr">
        <is>
          <t>CONTRACT
VALUE</t>
        </is>
      </c>
      <c r="J10" s="131" t="n"/>
    </row>
    <row r="11">
      <c r="A11" s="13" t="inlineStr">
        <is>
          <t>Marketing Amount</t>
        </is>
      </c>
      <c r="B11" s="22" t="n"/>
      <c r="C11" s="62" t="n"/>
      <c r="D11" s="132">
        <f>ROUNDUP(D12/(100%-C15),-1)</f>
        <v/>
      </c>
      <c r="E11" s="128" t="n"/>
      <c r="F11" s="23" t="n">
        <v>12</v>
      </c>
      <c r="G11" s="133">
        <f>D11*F11</f>
        <v/>
      </c>
    </row>
    <row r="12">
      <c r="A12" s="13" t="inlineStr">
        <is>
          <t>Amount in Owner's pocket</t>
        </is>
      </c>
      <c r="B12" s="22" t="n"/>
      <c r="C12" s="62" t="n"/>
      <c r="D12" s="134" t="n">
        <v>10000</v>
      </c>
      <c r="E12" s="73" t="n"/>
      <c r="F12" s="132" t="n"/>
      <c r="G12" s="133" t="n"/>
    </row>
    <row r="13" ht="14.5" customHeight="1">
      <c r="A13" s="25" t="inlineStr">
        <is>
          <t>FEES</t>
        </is>
      </c>
      <c r="B13" s="26" t="n"/>
      <c r="C13" s="26" t="n"/>
      <c r="D13" s="26" t="n"/>
      <c r="E13" s="26" t="n"/>
      <c r="F13" s="27" t="inlineStr">
        <is>
          <t>VAT</t>
        </is>
      </c>
      <c r="G13" s="28" t="n"/>
    </row>
    <row r="14" customFormat="1" s="1">
      <c r="A14" s="10" t="inlineStr">
        <is>
          <t>Placement Fee (New Tenant)</t>
        </is>
      </c>
      <c r="B14" s="11" t="n">
        <v>0.07099999999999999</v>
      </c>
      <c r="C14" s="63">
        <f>(B14*15%)+B14</f>
        <v/>
      </c>
      <c r="D14" s="132">
        <f>$B14*$G$11</f>
        <v/>
      </c>
      <c r="E14" s="128" t="n"/>
      <c r="F14" s="132">
        <f>D14*15%</f>
        <v/>
      </c>
      <c r="G14" s="135">
        <f>D14+F14</f>
        <v/>
      </c>
      <c r="I14" s="136" t="n"/>
      <c r="J14" s="137" t="n"/>
    </row>
    <row r="15">
      <c r="A15" s="13" t="inlineStr">
        <is>
          <t>Monthly Manangement Fee</t>
        </is>
      </c>
      <c r="B15" s="11" t="n">
        <v>0.1</v>
      </c>
      <c r="C15" s="63">
        <f>(B15*15%)+B15</f>
        <v/>
      </c>
      <c r="D15" s="132">
        <f>D11*B15</f>
        <v/>
      </c>
      <c r="E15" s="128" t="n"/>
      <c r="F15" s="132">
        <f>D15*15%</f>
        <v/>
      </c>
      <c r="G15" s="133">
        <f>D15+F15</f>
        <v/>
      </c>
    </row>
    <row r="16">
      <c r="A16" s="13" t="inlineStr">
        <is>
          <t>Rental &amp; Eviction Protection (3.1% + R50 admin)</t>
        </is>
      </c>
      <c r="B16" s="11" t="n">
        <v>0.031</v>
      </c>
      <c r="C16" s="63" t="n"/>
      <c r="D16" s="132">
        <f>IF(B16&gt;0,(D11*B16+50),0)</f>
        <v/>
      </c>
      <c r="E16" s="128" t="n"/>
      <c r="F16" s="132">
        <f>D16*15%</f>
        <v/>
      </c>
      <c r="G16" s="133">
        <f>D16+F16</f>
        <v/>
      </c>
    </row>
    <row r="17" ht="10" customHeight="1">
      <c r="F17" s="138" t="n"/>
    </row>
    <row r="18" ht="14.5" customHeight="1">
      <c r="A18" s="81" t="inlineStr">
        <is>
          <t>LEASE RENEWAL FEE</t>
        </is>
      </c>
      <c r="B18" s="127" t="n"/>
      <c r="C18" s="127" t="n"/>
      <c r="D18" s="127" t="n"/>
      <c r="E18" s="127" t="n"/>
      <c r="F18" s="127" t="n"/>
      <c r="G18" s="128" t="n"/>
    </row>
    <row r="19" customFormat="1" s="1">
      <c r="A19" s="13" t="inlineStr">
        <is>
          <t>Renewal commission fee</t>
        </is>
      </c>
      <c r="B19" s="11" t="n">
        <v>0.045</v>
      </c>
      <c r="C19" s="11" t="n"/>
      <c r="D19" s="82" t="inlineStr">
        <is>
          <t>OF CONTRACT RENEWAL VALUE</t>
        </is>
      </c>
      <c r="E19" s="127" t="n"/>
      <c r="F19" s="127" t="n"/>
      <c r="G19" s="128" t="n"/>
      <c r="J19" s="137" t="n"/>
    </row>
    <row r="20" ht="15" customHeight="1" thickBot="1"/>
    <row r="21" ht="15" customHeight="1" thickTop="1">
      <c r="A21" s="83" t="inlineStr">
        <is>
          <t>Placement Payment Term</t>
        </is>
      </c>
      <c r="B21" s="128" t="n"/>
      <c r="C21" s="32" t="n"/>
      <c r="D21" s="33" t="n">
        <v>1</v>
      </c>
      <c r="E21" s="34" t="n"/>
      <c r="F21" s="139" t="inlineStr">
        <is>
          <t>RENTAL &amp; EVICTION PROTECTION</t>
        </is>
      </c>
      <c r="G21" s="85" t="n"/>
    </row>
    <row r="22" ht="15" customFormat="1" customHeight="1" s="39" thickBot="1">
      <c r="A22" s="35" t="inlineStr">
        <is>
          <t>RENT IN OWNERS POCKET FIRST MONTH</t>
        </is>
      </c>
      <c r="B22" s="36" t="n"/>
      <c r="C22" s="36" t="n"/>
      <c r="D22" s="37" t="n"/>
      <c r="E22" s="38" t="n"/>
      <c r="F22" s="86" t="n"/>
      <c r="G22" s="87" t="n"/>
    </row>
    <row r="23" ht="15" customFormat="1" customHeight="1" s="39" thickTop="1">
      <c r="A23" s="40" t="inlineStr">
        <is>
          <t>1st Month Rental</t>
        </is>
      </c>
      <c r="B23" s="41" t="n"/>
      <c r="C23" s="41" t="n"/>
      <c r="D23" s="140">
        <f>D11</f>
        <v/>
      </c>
      <c r="E23" s="141" t="n"/>
      <c r="F23" s="124" t="inlineStr">
        <is>
          <t>Total premiums (10 months if Diamond Package selected - 12m term only)</t>
        </is>
      </c>
      <c r="G23" s="142">
        <f>$G$16*10</f>
        <v/>
      </c>
    </row>
    <row r="24" ht="15.5" customFormat="1" customHeight="1" s="20">
      <c r="A24" s="44" t="inlineStr">
        <is>
          <t>Monthly Management Fee</t>
        </is>
      </c>
      <c r="B24" s="45" t="n"/>
      <c r="C24" s="45" t="n"/>
      <c r="D24" s="143">
        <f>G15</f>
        <v/>
      </c>
      <c r="E24" s="144" t="n"/>
      <c r="F24" s="100" t="n"/>
      <c r="G24" s="103" t="n"/>
    </row>
    <row r="25" ht="15.5" customFormat="1" customHeight="1" s="20">
      <c r="A25" s="48" t="inlineStr">
        <is>
          <t>Rental &amp; Eviction Protection - Paid by RE/MAX on Diamond</t>
        </is>
      </c>
      <c r="B25" s="49" t="n"/>
      <c r="C25" s="49" t="n"/>
      <c r="D25" s="143">
        <f>IF(AND($F$11=12,$B$14&gt;=7%,$B$15&gt;=10%),0,$G$16)</f>
        <v/>
      </c>
      <c r="E25" s="144" t="n"/>
      <c r="F25" s="100" t="n"/>
      <c r="G25" s="103" t="n"/>
    </row>
    <row r="26">
      <c r="A26" s="48" t="inlineStr">
        <is>
          <t>Placement Fee</t>
        </is>
      </c>
      <c r="B26" s="49" t="n"/>
      <c r="C26" s="49" t="n"/>
      <c r="D26" s="133">
        <f>IF(D21=1,(IF(D23-D24&lt;G14,D23-D24,G14)),IF(D21=2,G14/2,IF(D21=3,G14/3)))</f>
        <v/>
      </c>
      <c r="F26" s="101" t="n"/>
      <c r="G26" s="104" t="n"/>
      <c r="H26" s="145" t="n"/>
    </row>
    <row r="27">
      <c r="A27" s="51" t="inlineStr">
        <is>
          <t>Owners Pocket</t>
        </is>
      </c>
      <c r="B27" s="52" t="n"/>
      <c r="C27" s="52" t="n"/>
      <c r="D27" s="146">
        <f>D23-D24-D26-D25</f>
        <v/>
      </c>
      <c r="E27" s="141" t="n"/>
      <c r="F27" s="99" t="inlineStr">
        <is>
          <t>Total premiums (12 months if Platinum Package selected)</t>
        </is>
      </c>
      <c r="G27" s="147">
        <f>$G$16*12</f>
        <v/>
      </c>
      <c r="H27" s="145" t="n"/>
    </row>
    <row r="28" ht="10" customHeight="1">
      <c r="F28" s="100" t="n"/>
      <c r="G28" s="103" t="n"/>
    </row>
    <row r="29">
      <c r="A29" s="54" t="inlineStr">
        <is>
          <t>RENT IN OWNERS POCKET SECOND MONTH</t>
        </is>
      </c>
      <c r="B29" s="54" t="n"/>
      <c r="C29" s="54" t="n"/>
      <c r="D29" s="54" t="n"/>
      <c r="E29" s="38" t="n"/>
      <c r="F29" s="100" t="n"/>
      <c r="G29" s="103" t="n"/>
      <c r="J29" s="2" t="n"/>
    </row>
    <row r="30" customFormat="1" s="39">
      <c r="A30" s="40" t="inlineStr">
        <is>
          <t>2nd Months Rental</t>
        </is>
      </c>
      <c r="B30" s="41" t="n"/>
      <c r="C30" s="41" t="n"/>
      <c r="D30" s="140">
        <f>D11</f>
        <v/>
      </c>
      <c r="E30" s="141" t="n"/>
      <c r="F30" s="101" t="n"/>
      <c r="G30" s="104" t="n"/>
    </row>
    <row r="31">
      <c r="A31" s="44" t="inlineStr">
        <is>
          <t>Monthly Management Fee</t>
        </is>
      </c>
      <c r="B31" s="45" t="n"/>
      <c r="C31" s="45" t="n"/>
      <c r="D31" s="133">
        <f>G15</f>
        <v/>
      </c>
      <c r="F31" s="117" t="inlineStr">
        <is>
          <t>1st month protection (50%) for absondment or default</t>
        </is>
      </c>
      <c r="G31" s="148">
        <f>IF(B16&gt;0,($D$12*50%),0)</f>
        <v/>
      </c>
    </row>
    <row r="32" ht="15" customHeight="1">
      <c r="A32" s="48" t="inlineStr">
        <is>
          <t>Rental &amp; Eviction Protection - Paid by RE/MAX on Diamond</t>
        </is>
      </c>
      <c r="B32" s="49" t="n"/>
      <c r="C32" s="49" t="n"/>
      <c r="D32" s="143">
        <f>IF($F$11&gt;=12,IF($B$15&gt;=10%,0,$G$16),$G$16)</f>
        <v/>
      </c>
      <c r="E32" s="144" t="n"/>
      <c r="F32" s="118" t="n"/>
      <c r="G32" s="103" t="n"/>
    </row>
    <row r="33">
      <c r="A33" s="48" t="inlineStr">
        <is>
          <t>Placement Fee Left</t>
        </is>
      </c>
      <c r="B33" s="49" t="n"/>
      <c r="C33" s="49" t="n"/>
      <c r="D33" s="133">
        <f>IF(D21=1,G14-D26,IF(D21=2,G14/2,IF(D21=3,G14/3)))</f>
        <v/>
      </c>
      <c r="F33" s="118" t="n"/>
      <c r="G33" s="103" t="n"/>
    </row>
    <row r="34">
      <c r="A34" s="51" t="inlineStr">
        <is>
          <t>Owners Pocket</t>
        </is>
      </c>
      <c r="B34" s="52" t="n"/>
      <c r="C34" s="52" t="n"/>
      <c r="D34" s="146">
        <f>D30-D31-D33-D32</f>
        <v/>
      </c>
      <c r="E34" s="141" t="n"/>
      <c r="F34" s="118" t="n"/>
      <c r="G34" s="103" t="n"/>
    </row>
    <row r="35" ht="10" customHeight="1">
      <c r="A35" s="55" t="n"/>
      <c r="B35" s="55" t="n"/>
      <c r="C35" s="55" t="n"/>
      <c r="D35" s="149" t="n"/>
      <c r="E35" s="149" t="n"/>
      <c r="F35" s="120" t="inlineStr">
        <is>
          <t>Plus 5 months 100% protection.  While eviction is in process.</t>
        </is>
      </c>
      <c r="G35" s="150">
        <f>IF(B16&gt;0,($D$12*5),0)</f>
        <v/>
      </c>
    </row>
    <row r="36">
      <c r="A36" s="54" t="inlineStr">
        <is>
          <t>RENT IN OWNERS POCKET THIRD MONTH</t>
        </is>
      </c>
      <c r="B36" s="54" t="n"/>
      <c r="C36" s="54" t="n"/>
      <c r="D36" s="54" t="n"/>
      <c r="E36" s="38" t="n"/>
      <c r="F36" s="118" t="n"/>
      <c r="G36" s="103" t="n"/>
    </row>
    <row r="37">
      <c r="A37" s="40" t="inlineStr">
        <is>
          <t>3rd Months Rental</t>
        </is>
      </c>
      <c r="B37" s="41" t="n"/>
      <c r="C37" s="41" t="n"/>
      <c r="D37" s="140">
        <f>D11</f>
        <v/>
      </c>
      <c r="E37" s="141" t="n"/>
      <c r="F37" s="118" t="n"/>
      <c r="G37" s="103" t="n"/>
    </row>
    <row r="38" ht="15" customHeight="1" thickBot="1">
      <c r="A38" s="44" t="inlineStr">
        <is>
          <t>Monthly Management Fee</t>
        </is>
      </c>
      <c r="B38" s="45" t="n"/>
      <c r="C38" s="45" t="n"/>
      <c r="D38" s="133">
        <f>G15</f>
        <v/>
      </c>
      <c r="F38" s="121" t="n"/>
      <c r="G38" s="123" t="n"/>
    </row>
    <row r="39" ht="15" customHeight="1" thickTop="1">
      <c r="A39" s="48" t="inlineStr">
        <is>
          <t>Rental &amp; Eviction Protection (3.5% + R50 admin)</t>
        </is>
      </c>
      <c r="B39" s="49" t="n"/>
      <c r="C39" s="49" t="n"/>
      <c r="D39" s="143">
        <f>G16</f>
        <v/>
      </c>
      <c r="E39" s="144" t="n"/>
      <c r="F39" s="129" t="n"/>
    </row>
    <row r="40">
      <c r="A40" s="48" t="inlineStr">
        <is>
          <t>Placement Fee Left</t>
        </is>
      </c>
      <c r="B40" s="49" t="n"/>
      <c r="C40" s="49" t="n"/>
      <c r="D40" s="133">
        <f>IF(D21=1,0,IF(D21=2,0,IF(D21=3,G14/3)))</f>
        <v/>
      </c>
      <c r="F40" s="129" t="n"/>
    </row>
    <row r="41">
      <c r="A41" s="51" t="inlineStr">
        <is>
          <t>Owners Pocket</t>
        </is>
      </c>
      <c r="B41" s="52" t="n"/>
      <c r="C41" s="52" t="n"/>
      <c r="D41" s="146">
        <f>D37-D38-D40-D39</f>
        <v/>
      </c>
      <c r="E41" s="141" t="n"/>
      <c r="F41" s="129" t="n"/>
    </row>
    <row r="42">
      <c r="A42" s="55" t="n"/>
      <c r="B42" s="55" t="n"/>
      <c r="C42" s="55" t="n"/>
      <c r="D42" s="55" t="n"/>
      <c r="E42" s="55" t="n"/>
      <c r="F42" s="55" t="n"/>
      <c r="G42" s="141" t="n"/>
      <c r="J42" s="2" t="n"/>
    </row>
    <row r="43" ht="40.5" customHeight="1">
      <c r="A43" s="92" t="inlineStr">
        <is>
          <t>The owner's in-pocket amount is payable exclusively if we do not cover any municipal or body corporate accounts on your behalf. It's crucial to highlight that in cases where we handle property tax and levies on your behalf, these expenses will be deducted from the rent you receive.</t>
        </is>
      </c>
      <c r="J43" s="2" t="n"/>
    </row>
    <row r="44" ht="5.15" customHeight="1">
      <c r="J44" s="2" t="n"/>
    </row>
    <row r="45" ht="36" customHeight="1">
      <c r="A45" s="57" t="n"/>
      <c r="D45" s="96" t="n"/>
      <c r="E45" s="97" t="n"/>
      <c r="F45" s="149" t="n"/>
      <c r="G45" s="151" t="n"/>
    </row>
    <row r="46" ht="15.5" customFormat="1" customHeight="1" s="61">
      <c r="A46" s="55" t="inlineStr">
        <is>
          <t>Name and Surname</t>
        </is>
      </c>
      <c r="B46" s="59" t="n"/>
      <c r="C46" s="59" t="n"/>
      <c r="D46" s="55" t="inlineStr">
        <is>
          <t>Signature</t>
        </is>
      </c>
      <c r="E46" s="55" t="n"/>
      <c r="F46" s="55" t="n"/>
      <c r="G46" s="60" t="inlineStr">
        <is>
          <t>Date Accepted</t>
        </is>
      </c>
    </row>
    <row r="47" ht="5.15" customHeight="1"/>
    <row r="48">
      <c r="A48" s="98" t="n"/>
      <c r="B48" s="127" t="n"/>
      <c r="C48" s="127" t="n"/>
      <c r="D48" s="127" t="n"/>
      <c r="E48" s="127" t="n"/>
      <c r="F48" s="127" t="n"/>
      <c r="G48" s="128" t="n"/>
    </row>
  </sheetData>
  <sheetProtection selectLockedCells="0" selectUnlockedCells="0" algorithmName="SHA-512" sheet="1" objects="1" insertRows="1" insertHyperlinks="1" autoFilter="1" scenarios="1" formatColumns="1" deleteColumns="1" insertColumns="1" pivotTables="1" deleteRows="1" formatCells="1" saltValue="UjBRW51ole9QFXgkHUMSEg==" formatRows="1" sort="1" spinCount="100000" hashValue="6Jfl9qSXUt33fvLMTFqq0fCJOgHaWddC2a4QsYzFS5lqavZnnIkVko1Y3xG6J6XHGSzzNqQX2MZsu/X4WoZLAA=="/>
  <mergeCells count="28">
    <mergeCell ref="D10:E10"/>
    <mergeCell ref="A43:G43"/>
    <mergeCell ref="D45:E45"/>
    <mergeCell ref="G23:G26"/>
    <mergeCell ref="D11:E11"/>
    <mergeCell ref="A48:G48"/>
    <mergeCell ref="D19:G19"/>
    <mergeCell ref="F35:F38"/>
    <mergeCell ref="F23:F26"/>
    <mergeCell ref="B6:G6"/>
    <mergeCell ref="A21:B21"/>
    <mergeCell ref="D16:E16"/>
    <mergeCell ref="A1:G1"/>
    <mergeCell ref="F31:F34"/>
    <mergeCell ref="B5:G5"/>
    <mergeCell ref="B4:G4"/>
    <mergeCell ref="F27:F30"/>
    <mergeCell ref="B7:G7"/>
    <mergeCell ref="D12:E12"/>
    <mergeCell ref="D8:E8"/>
    <mergeCell ref="G35:G38"/>
    <mergeCell ref="A18:G18"/>
    <mergeCell ref="D15:E15"/>
    <mergeCell ref="G31:G34"/>
    <mergeCell ref="D14:E14"/>
    <mergeCell ref="A2:G2"/>
    <mergeCell ref="F21:G22"/>
    <mergeCell ref="G27:G30"/>
  </mergeCells>
  <conditionalFormatting sqref="D25">
    <cfRule type="cellIs" priority="2" operator="lessThanOrEqual" dxfId="0">
      <formula>0</formula>
    </cfRule>
  </conditionalFormatting>
  <conditionalFormatting sqref="D32">
    <cfRule type="cellIs" priority="1" operator="lessThanOrEqual" dxfId="0">
      <formula>0</formula>
    </cfRule>
  </conditionalFormatting>
  <printOptions horizontalCentered="1"/>
  <pageMargins left="0.2362204724409449" right="0.2362204724409449" top="0.5511811023622047" bottom="0.5511811023622047" header="0.3149606299212598" footer="0.3149606299212598"/>
  <pageSetup orientation="portrait" scale="97"/>
</worksheet>
</file>

<file path=xl/worksheets/sheet2.xml><?xml version="1.0" encoding="utf-8"?>
<worksheet xmlns="http://schemas.openxmlformats.org/spreadsheetml/2006/main">
  <sheetPr>
    <tabColor theme="4" tint="-0.249977111117893"/>
    <outlinePr summaryBelow="1" summaryRight="1"/>
    <pageSetUpPr fitToPage="1"/>
  </sheetPr>
  <dimension ref="A1:S47"/>
  <sheetViews>
    <sheetView tabSelected="1" zoomScale="70" zoomScaleNormal="70" workbookViewId="0">
      <pane ySplit="2" topLeftCell="A3" activePane="bottomLeft" state="frozen"/>
      <selection activeCell="A15" sqref="A15:G15"/>
      <selection pane="bottomLeft" activeCell="B8" sqref="B8:G8"/>
    </sheetView>
  </sheetViews>
  <sheetFormatPr baseColWidth="8" defaultColWidth="9.1796875" defaultRowHeight="14.5"/>
  <cols>
    <col width="45.90625" bestFit="1" customWidth="1" style="2" min="1" max="1"/>
    <col width="8.7265625" bestFit="1" customWidth="1" style="93" min="2" max="2"/>
    <col hidden="1" width="8.7265625" customWidth="1" style="93" min="3" max="3"/>
    <col width="14.26953125" customWidth="1" style="129" min="4" max="4"/>
    <col width="3.1796875" customWidth="1" style="129" min="5" max="5"/>
    <col width="15.26953125" customWidth="1" style="95" min="6" max="6"/>
    <col width="14.26953125" customWidth="1" style="129" min="7" max="7"/>
    <col width="9.54296875" bestFit="1" customWidth="1" style="2" min="8" max="8"/>
    <col width="10.54296875" bestFit="1" customWidth="1" style="2" min="9" max="9"/>
    <col width="13.7265625" bestFit="1" customWidth="1" style="129" min="10" max="10"/>
    <col width="9.1796875" customWidth="1" style="2" min="11" max="11"/>
    <col width="11.26953125" bestFit="1" customWidth="1" style="2" min="12" max="12"/>
    <col width="9.1796875" customWidth="1" style="2" min="13" max="13"/>
    <col width="9.1796875" customWidth="1" style="2" min="14" max="16384"/>
  </cols>
  <sheetData>
    <row r="1" ht="18.5" customHeight="1">
      <c r="A1" s="74" t="inlineStr">
        <is>
          <t>RESIDENTIAL CALCULATION</t>
        </is>
      </c>
      <c r="B1" s="127" t="n"/>
      <c r="C1" s="127" t="n"/>
      <c r="D1" s="127" t="n"/>
      <c r="E1" s="127" t="n"/>
      <c r="F1" s="127" t="n"/>
      <c r="G1" s="128" t="n"/>
    </row>
    <row r="2" ht="15.5" customHeight="1">
      <c r="A2" s="77" t="inlineStr">
        <is>
          <t>PLACEMENT &amp; MANAGEMENT FIXED   -   RENT IN OWNER'S POCKET</t>
        </is>
      </c>
      <c r="B2" s="78" t="n"/>
      <c r="C2" s="78" t="n"/>
      <c r="D2" s="78" t="n"/>
      <c r="E2" s="78" t="n"/>
      <c r="F2" s="78" t="n"/>
      <c r="G2" s="78" t="n"/>
    </row>
    <row r="4" ht="15.5" customFormat="1" customHeight="1" s="16">
      <c r="A4" s="14" t="inlineStr">
        <is>
          <t>UNIT NUMBER</t>
        </is>
      </c>
      <c r="B4" s="79" t="inlineStr">
        <is>
          <t>N/A – Full Title</t>
        </is>
      </c>
      <c r="C4" s="72" t="n"/>
      <c r="D4" s="72" t="n"/>
      <c r="E4" s="72" t="n"/>
      <c r="F4" s="72" t="n"/>
      <c r="G4" s="73" t="n"/>
      <c r="J4" s="130" t="n"/>
    </row>
    <row r="5" ht="15.5" customFormat="1" customHeight="1" s="16">
      <c r="A5" s="14" t="inlineStr">
        <is>
          <t>COMPLEX NAME</t>
        </is>
      </c>
      <c r="B5" s="79" t="inlineStr">
        <is>
          <t>N/A – Full Title</t>
        </is>
      </c>
      <c r="C5" s="72" t="n"/>
      <c r="D5" s="72" t="n"/>
      <c r="E5" s="72" t="n"/>
      <c r="F5" s="72" t="n"/>
      <c r="G5" s="73" t="n"/>
      <c r="J5" s="130" t="n"/>
      <c r="L5" s="130" t="n"/>
    </row>
    <row r="6" ht="15.5" customFormat="1" customHeight="1" s="16">
      <c r="A6" s="14" t="inlineStr">
        <is>
          <t>PROPERTY ADDRESS</t>
        </is>
      </c>
      <c r="B6" s="79" t="inlineStr">
        <is>
          <t>65 Canopus Drive</t>
        </is>
      </c>
      <c r="C6" s="72" t="n"/>
      <c r="D6" s="72" t="n"/>
      <c r="E6" s="72" t="n"/>
      <c r="F6" s="72" t="n"/>
      <c r="G6" s="73" t="n"/>
      <c r="J6" s="130" t="n"/>
    </row>
    <row r="7" ht="15.5" customFormat="1" customHeight="1" s="16">
      <c r="A7" s="14" t="inlineStr">
        <is>
          <t>DATE</t>
        </is>
      </c>
      <c r="B7" s="71" t="inlineStr">
        <is>
          <t>02 May 2026</t>
        </is>
      </c>
      <c r="C7" s="72" t="n"/>
      <c r="D7" s="72" t="n"/>
      <c r="E7" s="72" t="n"/>
      <c r="F7" s="72" t="n"/>
      <c r="G7" s="73" t="n"/>
      <c r="J7" s="130" t="n"/>
    </row>
    <row r="8" ht="15.5" customFormat="1" customHeight="1" s="16">
      <c r="A8" s="14" t="inlineStr">
        <is>
          <t>OCCUPATION DATE</t>
        </is>
      </c>
      <c r="B8" s="79" t="inlineStr">
        <is>
          <t>1 May 2026</t>
        </is>
      </c>
      <c r="C8" s="72" t="n"/>
      <c r="D8" s="72" t="n"/>
      <c r="E8" s="72" t="n"/>
      <c r="F8" s="72" t="n"/>
      <c r="G8" s="73" t="n"/>
      <c r="J8" s="130" t="n"/>
    </row>
    <row r="10" ht="30" customFormat="1" customHeight="1" s="20">
      <c r="A10" s="5" t="inlineStr">
        <is>
          <t>PLACEMENT AND MANAGEMENT FEES</t>
        </is>
      </c>
      <c r="B10" s="89" t="inlineStr">
        <is>
          <t>EXCL VAT</t>
        </is>
      </c>
      <c r="C10" s="7" t="n"/>
      <c r="D10" s="89" t="inlineStr">
        <is>
          <t>MONTHLY</t>
        </is>
      </c>
      <c r="E10" s="128" t="n"/>
      <c r="F10" s="8" t="inlineStr">
        <is>
          <t>TERM</t>
        </is>
      </c>
      <c r="G10" s="89" t="inlineStr">
        <is>
          <t>CONTRACT
VALUE</t>
        </is>
      </c>
      <c r="J10" s="131" t="n"/>
    </row>
    <row r="11">
      <c r="A11" s="13" t="inlineStr">
        <is>
          <t>Marketing Amount</t>
        </is>
      </c>
      <c r="B11" s="22" t="n"/>
      <c r="C11" s="62" t="n"/>
      <c r="D11" s="132" t="n">
        <v>15000</v>
      </c>
      <c r="E11" s="128" t="n"/>
      <c r="F11" s="23" t="n">
        <v>12</v>
      </c>
      <c r="G11" s="133">
        <f>F11*D11</f>
        <v/>
      </c>
    </row>
    <row r="12">
      <c r="A12" s="13" t="inlineStr">
        <is>
          <t>Amount in Owner's pocket</t>
        </is>
      </c>
      <c r="B12" s="22" t="n"/>
      <c r="C12" s="62" t="n"/>
      <c r="D12" s="134" t="n">
        <v>12000</v>
      </c>
      <c r="E12" s="73" t="n"/>
      <c r="F12" s="132" t="n"/>
      <c r="G12" s="133" t="n"/>
    </row>
    <row r="13" ht="14.5" customHeight="1">
      <c r="A13" s="25" t="inlineStr">
        <is>
          <t>FEES</t>
        </is>
      </c>
      <c r="B13" s="26" t="n"/>
      <c r="C13" s="26" t="n"/>
      <c r="D13" s="26" t="n"/>
      <c r="E13" s="26" t="n"/>
      <c r="F13" s="27" t="inlineStr">
        <is>
          <t>VAT</t>
        </is>
      </c>
      <c r="G13" s="28" t="n"/>
    </row>
    <row r="14" customFormat="1" s="1">
      <c r="A14" s="10" t="inlineStr">
        <is>
          <t>Placement Fee (New Tenant) / Or Once-Off Procurement Fee</t>
        </is>
      </c>
      <c r="B14" s="65" t="n">
        <v>0.07000000000000001</v>
      </c>
      <c r="C14" s="63">
        <f>(B14*15%)+B14</f>
        <v/>
      </c>
      <c r="D14" s="132">
        <f>G11*B14</f>
        <v/>
      </c>
      <c r="E14" s="128" t="n"/>
      <c r="F14" s="132">
        <f>D14*115/100-D14</f>
        <v/>
      </c>
      <c r="G14" s="152">
        <f>D14+F14</f>
        <v/>
      </c>
      <c r="I14" s="136" t="n"/>
      <c r="J14" s="137" t="n"/>
    </row>
    <row r="15">
      <c r="A15" s="13" t="inlineStr">
        <is>
          <t>Monthly Manangement Fee</t>
        </is>
      </c>
      <c r="B15" s="65" t="n">
        <v>0.1</v>
      </c>
      <c r="C15" s="63">
        <f>(B15*15%)+B15</f>
        <v/>
      </c>
      <c r="D15" s="132">
        <f>D11*B15</f>
        <v/>
      </c>
      <c r="E15" s="128" t="n"/>
      <c r="F15" s="132">
        <f>D15*115/100-D15</f>
        <v/>
      </c>
      <c r="G15" s="152">
        <f>D15+F15</f>
        <v/>
      </c>
    </row>
    <row r="16">
      <c r="A16" s="13" t="inlineStr">
        <is>
          <t>Rental &amp; Eviction Protection (3.1% + R50 admin)</t>
        </is>
      </c>
      <c r="B16" s="11" t="n">
        <v>0.031</v>
      </c>
      <c r="C16" s="11" t="n"/>
      <c r="D16" s="132">
        <f>IF(B16&gt;0,(D11*B16+50),0)</f>
        <v/>
      </c>
      <c r="E16" s="128" t="n"/>
      <c r="F16" s="132">
        <f>D16*15%</f>
        <v/>
      </c>
      <c r="G16" s="133">
        <f>D16+F16</f>
        <v/>
      </c>
    </row>
    <row r="17">
      <c r="A17" s="13" t="inlineStr">
        <is>
          <t>If Procurement Only Shortfall to be paid to RE/MAX</t>
        </is>
      </c>
      <c r="B17" s="69" t="n"/>
      <c r="C17" s="132" t="n"/>
      <c r="D17" s="132" t="n"/>
      <c r="E17" s="128" t="n"/>
      <c r="F17" s="133" t="n"/>
      <c r="G17" s="153">
        <f>IF(AND(B15=0,B16=0,B14&gt;0,(D11-G14)&lt;0),G14-D11,"")</f>
        <v/>
      </c>
      <c r="I17" s="129" t="n"/>
      <c r="J17" s="2" t="n"/>
    </row>
    <row r="18" ht="10" customHeight="1">
      <c r="F18" s="138" t="n"/>
    </row>
    <row r="19" ht="14.5" customHeight="1">
      <c r="A19" s="81" t="inlineStr">
        <is>
          <t>LEASE RENEWAL FEE</t>
        </is>
      </c>
      <c r="B19" s="127" t="n"/>
      <c r="C19" s="127" t="n"/>
      <c r="D19" s="127" t="n"/>
      <c r="E19" s="127" t="n"/>
      <c r="F19" s="127" t="n"/>
      <c r="G19" s="128" t="n"/>
    </row>
    <row r="20" customFormat="1" s="1">
      <c r="A20" s="13" t="inlineStr">
        <is>
          <t>Renewal commission fee</t>
        </is>
      </c>
      <c r="B20" s="11" t="n">
        <v>0.045</v>
      </c>
      <c r="C20" s="11" t="n"/>
      <c r="D20" s="82" t="inlineStr">
        <is>
          <t>OF CONTRACT RENEWAL VALUE</t>
        </is>
      </c>
      <c r="E20" s="127" t="n"/>
      <c r="F20" s="127" t="n"/>
      <c r="G20" s="128" t="n"/>
      <c r="J20" s="137" t="n"/>
    </row>
    <row r="21" ht="15" customHeight="1" thickBot="1"/>
    <row r="22" ht="15" customHeight="1" thickTop="1">
      <c r="A22" s="83" t="inlineStr">
        <is>
          <t>Placement Payment Term</t>
        </is>
      </c>
      <c r="B22" s="128" t="n"/>
      <c r="C22" s="32" t="n"/>
      <c r="D22" s="33" t="n">
        <v>2</v>
      </c>
      <c r="E22" s="34" t="n"/>
      <c r="F22" s="139" t="inlineStr">
        <is>
          <t>RENTAL &amp; EVICTION PROTECTION</t>
        </is>
      </c>
      <c r="G22" s="85" t="n"/>
    </row>
    <row r="23" ht="15" customFormat="1" customHeight="1" s="39" thickBot="1">
      <c r="A23" s="35" t="inlineStr">
        <is>
          <t>RENT IN OWNERS POCKET FIRST MONTH</t>
        </is>
      </c>
      <c r="B23" s="36" t="n"/>
      <c r="C23" s="36" t="n"/>
      <c r="D23" s="37" t="n"/>
      <c r="E23" s="38" t="n"/>
      <c r="F23" s="86" t="n"/>
      <c r="G23" s="87" t="n"/>
    </row>
    <row r="24" ht="15" customFormat="1" customHeight="1" s="39" thickTop="1">
      <c r="A24" s="40" t="inlineStr">
        <is>
          <t>1st Month Rental</t>
        </is>
      </c>
      <c r="B24" s="41" t="n"/>
      <c r="C24" s="41" t="n"/>
      <c r="D24" s="140">
        <f>D11</f>
        <v/>
      </c>
      <c r="E24" s="141" t="n"/>
      <c r="F24" s="113" t="inlineStr">
        <is>
          <t>Total premiums (10 months if Diamond Package selected - 12m term only)</t>
        </is>
      </c>
      <c r="G24" s="154">
        <f>$G$16*10</f>
        <v/>
      </c>
      <c r="O24" s="91" t="inlineStr">
        <is>
          <t>Balance to be Paid to RE/MAX  (IF CREDIT IT WILL BE PAID TO THE OWNER)</t>
        </is>
      </c>
      <c r="P24" s="127" t="n"/>
      <c r="Q24" s="127" t="n"/>
      <c r="R24" s="128" t="n"/>
      <c r="S24" s="155">
        <f>IF((S23-S22)&lt;0,0,(S23-S22))</f>
        <v/>
      </c>
    </row>
    <row r="25" ht="15.5" customFormat="1" customHeight="1" s="20">
      <c r="A25" s="44" t="inlineStr">
        <is>
          <t>Monthly Management Fee</t>
        </is>
      </c>
      <c r="B25" s="45" t="n"/>
      <c r="C25" s="45" t="n"/>
      <c r="D25" s="143">
        <f>G15</f>
        <v/>
      </c>
      <c r="E25" s="144" t="n"/>
      <c r="F25" s="114" t="n"/>
      <c r="G25" s="103" t="n"/>
    </row>
    <row r="26" ht="15.5" customFormat="1" customHeight="1" s="20">
      <c r="A26" s="48" t="inlineStr">
        <is>
          <t>Rental &amp; Eviction Protection - Paid by RE/MAX if Diamond</t>
        </is>
      </c>
      <c r="B26" s="49" t="n"/>
      <c r="C26" s="49" t="n"/>
      <c r="D26" s="143">
        <f>IF($F$11&gt;=12,IF($B$15&gt;=10%,0,$G$16),$G$16)</f>
        <v/>
      </c>
      <c r="E26" s="144" t="n"/>
      <c r="F26" s="114" t="n"/>
      <c r="G26" s="103" t="n"/>
    </row>
    <row r="27">
      <c r="A27" s="48" t="inlineStr">
        <is>
          <t>Placement Fee</t>
        </is>
      </c>
      <c r="B27" s="49" t="n"/>
      <c r="C27" s="49" t="n"/>
      <c r="D27" s="133">
        <f>IF(D22=1,G14,IF(D22=2,G14/2,IF(D22=3,G14/3)))</f>
        <v/>
      </c>
      <c r="F27" s="115" t="n"/>
      <c r="G27" s="104" t="n"/>
      <c r="H27" s="145" t="n"/>
    </row>
    <row r="28">
      <c r="A28" s="51" t="inlineStr">
        <is>
          <t>Owners Pocket</t>
        </is>
      </c>
      <c r="B28" s="52" t="n"/>
      <c r="C28" s="52" t="n"/>
      <c r="D28" s="146">
        <f>D24-D25-D27-D26</f>
        <v/>
      </c>
      <c r="E28" s="141" t="n"/>
      <c r="F28" s="99" t="inlineStr">
        <is>
          <t>Total premiums (12 months if Platinum Package selected)</t>
        </is>
      </c>
      <c r="G28" s="147">
        <f>$G$16*12</f>
        <v/>
      </c>
      <c r="H28" s="145" t="n"/>
    </row>
    <row r="29" ht="10" customHeight="1">
      <c r="F29" s="100" t="n"/>
      <c r="G29" s="103" t="n"/>
    </row>
    <row r="30">
      <c r="A30" s="54" t="inlineStr">
        <is>
          <t>RENT IN OWNERS POCKET SECOND MONTH</t>
        </is>
      </c>
      <c r="B30" s="54" t="n"/>
      <c r="C30" s="54" t="n"/>
      <c r="D30" s="54" t="n"/>
      <c r="E30" s="38" t="n"/>
      <c r="F30" s="100" t="n"/>
      <c r="G30" s="103" t="n"/>
      <c r="J30" s="2" t="n"/>
    </row>
    <row r="31" customFormat="1" s="39">
      <c r="A31" s="40" t="inlineStr">
        <is>
          <t>2nd Months Rental</t>
        </is>
      </c>
      <c r="B31" s="41" t="n"/>
      <c r="C31" s="41" t="n"/>
      <c r="D31" s="140">
        <f>D11</f>
        <v/>
      </c>
      <c r="E31" s="141" t="n"/>
      <c r="F31" s="101" t="n"/>
      <c r="G31" s="104" t="n"/>
    </row>
    <row r="32">
      <c r="A32" s="44" t="inlineStr">
        <is>
          <t>Monthly Management Fee</t>
        </is>
      </c>
      <c r="B32" s="45" t="n"/>
      <c r="C32" s="45" t="n"/>
      <c r="D32" s="133">
        <f>G15</f>
        <v/>
      </c>
      <c r="F32" s="105" t="inlineStr">
        <is>
          <t>1st month protection (50%) for absondment or default</t>
        </is>
      </c>
      <c r="G32" s="156">
        <f>IF(B16&gt;0,($D$12*50%),0)</f>
        <v/>
      </c>
    </row>
    <row r="33" ht="15" customHeight="1">
      <c r="A33" s="48" t="inlineStr">
        <is>
          <t>Rental &amp; Eviction Protection - Paid by RE/MAX if Diamond</t>
        </is>
      </c>
      <c r="B33" s="49" t="n"/>
      <c r="C33" s="49" t="n"/>
      <c r="D33" s="143">
        <f>IF($F$11&gt;=12,IF($B$15&gt;=10%,0,$G$16),$G$16)</f>
        <v/>
      </c>
      <c r="E33" s="144" t="n"/>
      <c r="F33" s="106" t="n"/>
      <c r="G33" s="108" t="n"/>
    </row>
    <row r="34">
      <c r="A34" s="48" t="inlineStr">
        <is>
          <t>Placement Fee Left</t>
        </is>
      </c>
      <c r="B34" s="49" t="n"/>
      <c r="C34" s="49" t="n"/>
      <c r="D34" s="133">
        <f>IF(D22=1,IF(D28&lt;0,ABS(D28),G14-D27),
   IF(D22=2,G14/2,IF(D22=3,G14/3)))</f>
        <v/>
      </c>
      <c r="F34" s="106" t="n"/>
      <c r="G34" s="108" t="n"/>
    </row>
    <row r="35">
      <c r="A35" s="51" t="inlineStr">
        <is>
          <t>Owners Pocket</t>
        </is>
      </c>
      <c r="B35" s="52" t="n"/>
      <c r="C35" s="52" t="n"/>
      <c r="D35" s="146">
        <f>D31-D32-D34-D33</f>
        <v/>
      </c>
      <c r="E35" s="141" t="n"/>
      <c r="F35" s="106" t="n"/>
      <c r="G35" s="108" t="n"/>
    </row>
    <row r="36" ht="10" customHeight="1">
      <c r="A36" s="55" t="n"/>
      <c r="B36" s="55" t="n"/>
      <c r="C36" s="55" t="n"/>
      <c r="D36" s="149" t="n"/>
      <c r="E36" s="149" t="n"/>
      <c r="F36" s="109" t="inlineStr">
        <is>
          <t>Plus 5 months 100% protection.  While eviction is in process.</t>
        </is>
      </c>
      <c r="G36" s="157">
        <f>IF(B16&gt;0,($D$12*5),0)</f>
        <v/>
      </c>
    </row>
    <row r="37">
      <c r="A37" s="54" t="inlineStr">
        <is>
          <t>RENT IN OWNERS POCKET THIRD MONTH</t>
        </is>
      </c>
      <c r="B37" s="54" t="n"/>
      <c r="C37" s="54" t="n"/>
      <c r="D37" s="54" t="n"/>
      <c r="E37" s="38" t="n"/>
      <c r="F37" s="106" t="n"/>
      <c r="G37" s="108" t="n"/>
    </row>
    <row r="38">
      <c r="A38" s="40" t="inlineStr">
        <is>
          <t>3rd Months Rental</t>
        </is>
      </c>
      <c r="B38" s="41" t="n"/>
      <c r="C38" s="41" t="n"/>
      <c r="D38" s="140">
        <f>D11</f>
        <v/>
      </c>
      <c r="E38" s="141" t="n"/>
      <c r="F38" s="106" t="n"/>
      <c r="G38" s="108" t="n"/>
    </row>
    <row r="39" ht="15" customHeight="1" thickBot="1">
      <c r="A39" s="44" t="inlineStr">
        <is>
          <t>Monthly Management Fee</t>
        </is>
      </c>
      <c r="B39" s="45" t="n"/>
      <c r="C39" s="45" t="n"/>
      <c r="D39" s="133">
        <f>G15</f>
        <v/>
      </c>
      <c r="F39" s="110" t="n"/>
      <c r="G39" s="112" t="n"/>
    </row>
    <row r="40" ht="15" customHeight="1" thickTop="1">
      <c r="A40" s="48" t="inlineStr">
        <is>
          <t>Rental &amp; Eviction Protection (3.5% + R50 admin)</t>
        </is>
      </c>
      <c r="B40" s="49" t="n"/>
      <c r="C40" s="49" t="n"/>
      <c r="D40" s="143">
        <f>G16</f>
        <v/>
      </c>
      <c r="E40" s="144" t="n"/>
      <c r="F40" s="129" t="n"/>
    </row>
    <row r="41">
      <c r="A41" s="48" t="inlineStr">
        <is>
          <t>Placement Fee Left</t>
        </is>
      </c>
      <c r="B41" s="49" t="n"/>
      <c r="C41" s="49" t="n"/>
      <c r="D41" s="133">
        <f>IF(D22=1,0,IF(D22=2,0,IF(D22=3,G14/3)))</f>
        <v/>
      </c>
      <c r="F41" s="129" t="n"/>
    </row>
    <row r="42">
      <c r="A42" s="51" t="inlineStr">
        <is>
          <t>Owners Pocket</t>
        </is>
      </c>
      <c r="B42" s="52" t="n"/>
      <c r="C42" s="52" t="n"/>
      <c r="D42" s="146">
        <f>D38-D39-D41-D40</f>
        <v/>
      </c>
      <c r="E42" s="141" t="n"/>
      <c r="F42" s="129" t="n"/>
    </row>
    <row r="43">
      <c r="A43" s="55" t="n"/>
      <c r="B43" s="55" t="n"/>
      <c r="C43" s="55" t="n"/>
      <c r="D43" s="55" t="n"/>
      <c r="E43" s="55" t="n"/>
      <c r="F43" s="55" t="n"/>
      <c r="G43" s="141" t="n"/>
      <c r="J43" s="2" t="n"/>
    </row>
    <row r="44" ht="40.5" customHeight="1">
      <c r="A44" s="92" t="inlineStr">
        <is>
          <t>The owner's in-pocket amount is payable exclusively if we do not cover any municipal or body corporate accounts on your behalf. It's crucial to highlight that in cases where we handle property tax and levies on your behalf, these expenses will be deducted from the rent you receive.</t>
        </is>
      </c>
      <c r="J44" s="2" t="n"/>
    </row>
    <row r="45" ht="36" customHeight="1">
      <c r="A45" s="57" t="n"/>
      <c r="D45" s="96" t="n"/>
      <c r="E45" s="97" t="n"/>
      <c r="F45" s="149" t="n"/>
      <c r="G45" s="151" t="n"/>
    </row>
    <row r="46" ht="15.5" customFormat="1" customHeight="1" s="61">
      <c r="A46" s="55" t="inlineStr">
        <is>
          <t>Name and Surname</t>
        </is>
      </c>
      <c r="B46" s="59" t="n"/>
      <c r="C46" s="59" t="n"/>
      <c r="D46" s="55" t="inlineStr">
        <is>
          <t>Signature</t>
        </is>
      </c>
      <c r="E46" s="55" t="n"/>
      <c r="F46" s="55" t="n"/>
      <c r="G46" s="60" t="inlineStr">
        <is>
          <t>Date Accepted</t>
        </is>
      </c>
    </row>
    <row r="47">
      <c r="A47" s="98" t="n"/>
      <c r="B47" s="127" t="n"/>
      <c r="C47" s="127" t="n"/>
      <c r="D47" s="127" t="n"/>
      <c r="E47" s="127" t="n"/>
      <c r="F47" s="127" t="n"/>
      <c r="G47" s="128" t="n"/>
    </row>
  </sheetData>
  <mergeCells count="30">
    <mergeCell ref="F22:G23"/>
    <mergeCell ref="D10:E10"/>
    <mergeCell ref="B8:G8"/>
    <mergeCell ref="G36:G39"/>
    <mergeCell ref="F24:F27"/>
    <mergeCell ref="A19:G19"/>
    <mergeCell ref="D45:E45"/>
    <mergeCell ref="A44:G44"/>
    <mergeCell ref="G28:G31"/>
    <mergeCell ref="F36:F39"/>
    <mergeCell ref="D11:E11"/>
    <mergeCell ref="D20:G20"/>
    <mergeCell ref="O24:R24"/>
    <mergeCell ref="D17:E17"/>
    <mergeCell ref="F32:F35"/>
    <mergeCell ref="G24:G27"/>
    <mergeCell ref="B6:G6"/>
    <mergeCell ref="D16:E16"/>
    <mergeCell ref="A1:G1"/>
    <mergeCell ref="B5:G5"/>
    <mergeCell ref="B4:G4"/>
    <mergeCell ref="A22:B22"/>
    <mergeCell ref="D12:E12"/>
    <mergeCell ref="B7:G7"/>
    <mergeCell ref="G32:G35"/>
    <mergeCell ref="F28:F31"/>
    <mergeCell ref="D15:E15"/>
    <mergeCell ref="D14:E14"/>
    <mergeCell ref="A2:G2"/>
    <mergeCell ref="A47:G47"/>
  </mergeCells>
  <conditionalFormatting sqref="D26">
    <cfRule type="cellIs" priority="2" operator="lessThanOrEqual" dxfId="0">
      <formula>0</formula>
    </cfRule>
  </conditionalFormatting>
  <conditionalFormatting sqref="D33">
    <cfRule type="cellIs" priority="1" operator="lessThanOrEqual" dxfId="0">
      <formula>0</formula>
    </cfRule>
  </conditionalFormatting>
  <printOptions horizontalCentered="1"/>
  <pageMargins left="0.2362204724409449" right="0.2362204724409449" top="0.5511811023622047" bottom="0.5511811023622047" header="0.3149606299212598" footer="0.3149606299212598"/>
  <pageSetup orientation="portrait" scale="95"/>
</worksheet>
</file>

<file path=xl/worksheets/sheet3.xml><?xml version="1.0" encoding="utf-8"?>
<worksheet xmlns="http://schemas.openxmlformats.org/spreadsheetml/2006/main">
  <sheetPr>
    <outlinePr summaryBelow="1" summaryRight="1"/>
    <pageSetUpPr/>
  </sheetPr>
  <dimension ref="A1:D32"/>
  <sheetViews>
    <sheetView topLeftCell="A2" workbookViewId="0">
      <selection activeCell="D16" sqref="D16"/>
    </sheetView>
  </sheetViews>
  <sheetFormatPr baseColWidth="8" defaultRowHeight="14.5"/>
  <cols>
    <col width="3.26953125" customWidth="1" min="2" max="2"/>
  </cols>
  <sheetData>
    <row r="1">
      <c r="A1" t="inlineStr">
        <is>
          <t>Months</t>
        </is>
      </c>
    </row>
    <row r="2">
      <c r="A2" t="n">
        <v>1</v>
      </c>
      <c r="C2" t="inlineStr">
        <is>
          <t>January</t>
        </is>
      </c>
      <c r="D2" t="n">
        <v>31</v>
      </c>
    </row>
    <row r="3">
      <c r="A3" t="n">
        <v>2</v>
      </c>
      <c r="C3" t="inlineStr">
        <is>
          <t>February</t>
        </is>
      </c>
      <c r="D3" t="n">
        <v>29</v>
      </c>
    </row>
    <row r="4">
      <c r="A4" t="n">
        <v>3</v>
      </c>
      <c r="C4" t="inlineStr">
        <is>
          <t>March</t>
        </is>
      </c>
      <c r="D4" t="n">
        <v>31</v>
      </c>
    </row>
    <row r="5">
      <c r="A5" t="n">
        <v>4</v>
      </c>
      <c r="C5" t="inlineStr">
        <is>
          <t>April</t>
        </is>
      </c>
      <c r="D5" t="n">
        <v>30</v>
      </c>
    </row>
    <row r="6">
      <c r="A6" t="n">
        <v>5</v>
      </c>
      <c r="C6" t="inlineStr">
        <is>
          <t>May</t>
        </is>
      </c>
      <c r="D6" t="n">
        <v>31</v>
      </c>
    </row>
    <row r="7">
      <c r="A7" t="n">
        <v>6</v>
      </c>
      <c r="C7" t="inlineStr">
        <is>
          <t>June</t>
        </is>
      </c>
      <c r="D7" t="n">
        <v>30</v>
      </c>
    </row>
    <row r="8">
      <c r="A8" t="n">
        <v>7</v>
      </c>
      <c r="C8" t="inlineStr">
        <is>
          <t>July</t>
        </is>
      </c>
      <c r="D8" t="n">
        <v>31</v>
      </c>
    </row>
    <row r="9">
      <c r="A9" t="n">
        <v>8</v>
      </c>
      <c r="C9" t="inlineStr">
        <is>
          <t>August</t>
        </is>
      </c>
      <c r="D9" t="n">
        <v>31</v>
      </c>
    </row>
    <row r="10">
      <c r="A10" t="n">
        <v>9</v>
      </c>
      <c r="C10" t="inlineStr">
        <is>
          <t>September</t>
        </is>
      </c>
      <c r="D10" t="n">
        <v>30</v>
      </c>
    </row>
    <row r="11">
      <c r="A11" t="n">
        <v>10</v>
      </c>
      <c r="C11" t="inlineStr">
        <is>
          <t>October</t>
        </is>
      </c>
      <c r="D11" t="n">
        <v>31</v>
      </c>
    </row>
    <row r="12">
      <c r="A12" t="n">
        <v>11</v>
      </c>
      <c r="C12" t="inlineStr">
        <is>
          <t>November</t>
        </is>
      </c>
      <c r="D12" t="n">
        <v>30</v>
      </c>
    </row>
    <row r="13">
      <c r="A13" t="n">
        <v>12</v>
      </c>
      <c r="C13" t="inlineStr">
        <is>
          <t>December</t>
        </is>
      </c>
      <c r="D13" t="n">
        <v>31</v>
      </c>
    </row>
    <row r="14">
      <c r="A14" t="n">
        <v>13</v>
      </c>
    </row>
    <row r="15">
      <c r="A15" t="n">
        <v>14</v>
      </c>
      <c r="C15" t="inlineStr">
        <is>
          <t>Tenrisk</t>
        </is>
      </c>
      <c r="D15" s="66" t="n">
        <v>0.031</v>
      </c>
    </row>
    <row r="16">
      <c r="A16" t="n">
        <v>15</v>
      </c>
      <c r="C16" t="inlineStr">
        <is>
          <t>No Tenrisk</t>
        </is>
      </c>
      <c r="D16" t="n">
        <v>0</v>
      </c>
    </row>
    <row r="17">
      <c r="A17" t="n">
        <v>16</v>
      </c>
      <c r="C17" t="inlineStr">
        <is>
          <t>Not option</t>
        </is>
      </c>
      <c r="D17" t="inlineStr">
        <is>
          <t>N/A</t>
        </is>
      </c>
    </row>
    <row r="18">
      <c r="A18" t="n">
        <v>17</v>
      </c>
    </row>
    <row r="19">
      <c r="A19" t="n">
        <v>18</v>
      </c>
    </row>
    <row r="20">
      <c r="A20" t="n">
        <v>19</v>
      </c>
    </row>
    <row r="21">
      <c r="A21" t="n">
        <v>20</v>
      </c>
    </row>
    <row r="22">
      <c r="A22" t="n">
        <v>21</v>
      </c>
    </row>
    <row r="23">
      <c r="A23" t="n">
        <v>22</v>
      </c>
    </row>
    <row r="24">
      <c r="A24" t="n">
        <v>23</v>
      </c>
    </row>
    <row r="25">
      <c r="A25" t="n">
        <v>24</v>
      </c>
    </row>
    <row r="26">
      <c r="A26" t="n">
        <v>25</v>
      </c>
    </row>
    <row r="27">
      <c r="A27" t="n">
        <v>26</v>
      </c>
    </row>
    <row r="28">
      <c r="A28" t="n">
        <v>27</v>
      </c>
    </row>
    <row r="29">
      <c r="A29" t="n">
        <v>28</v>
      </c>
    </row>
    <row r="30">
      <c r="A30" t="n">
        <v>29</v>
      </c>
    </row>
    <row r="31">
      <c r="A31" t="n">
        <v>30</v>
      </c>
    </row>
    <row r="32">
      <c r="A32" t="n">
        <v>31</v>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Angelique Schutte</dc:creator>
  <dcterms:created xsi:type="dcterms:W3CDTF">2022-11-13T16:18:57Z</dcterms:created>
  <dcterms:modified xsi:type="dcterms:W3CDTF">2026-05-02T15:52:34Z</dcterms:modified>
  <cp:lastModifiedBy>Janus De Jonge</cp:lastModifiedBy>
  <cp:lastPrinted>2025-11-14T14:02:01Z</cp:lastPrinted>
</cp:coreProperties>
</file>