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Janus\Documents\Chat GPT Upload\"/>
    </mc:Choice>
  </mc:AlternateContent>
  <xr:revisionPtr revIDLastSave="0" documentId="13_ncr:1_{C11F7087-718C-4185-8EF5-9344E7DE2F26}" xr6:coauthVersionLast="47" xr6:coauthVersionMax="47" xr10:uidLastSave="{00000000-0000-0000-0000-000000000000}"/>
  <bookViews>
    <workbookView xWindow="-110" yWindow="-110" windowWidth="19420" windowHeight="11500" tabRatio="951" firstSheet="1" activeTab="1" xr2:uid="{00000000-000D-0000-FFFF-FFFF00000000}"/>
  </bookViews>
  <sheets>
    <sheet name="!! PLA &amp; Man % OP" sheetId="1" state="hidden" r:id="rId1"/>
    <sheet name="Template" sheetId="2" r:id="rId2"/>
    <sheet name="Options" sheetId="3" state="hidden" r:id="rId3"/>
  </sheets>
  <definedNames>
    <definedName name="_xlnm.Print_Area" localSheetId="0">'!! PLA &amp; Man % OP'!$A$1:$G$48</definedName>
    <definedName name="_xlnm.Print_Area" localSheetId="1">Template!$A$1:$G$47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 i="2" l="1"/>
  <c r="D34" i="2"/>
  <c r="G17" i="2"/>
  <c r="D41" i="2"/>
  <c r="G36" i="2"/>
  <c r="D33" i="2"/>
  <c r="G32" i="2"/>
  <c r="D26" i="2"/>
  <c r="S24" i="2"/>
  <c r="C15" i="2"/>
  <c r="C14" i="2"/>
  <c r="D11" i="2"/>
  <c r="D40" i="1"/>
  <c r="G35" i="1"/>
  <c r="D32" i="1"/>
  <c r="G31" i="1"/>
  <c r="D25" i="1"/>
  <c r="C15" i="1"/>
  <c r="C14" i="1"/>
  <c r="D11" i="1"/>
  <c r="D15" i="1" s="1"/>
  <c r="G11" i="2" l="1"/>
  <c r="D14" i="2" s="1"/>
  <c r="F14" i="2" s="1"/>
  <c r="G14" i="2" s="1"/>
  <c r="F15" i="1"/>
  <c r="G15" i="1" s="1"/>
  <c r="D16" i="2"/>
  <c r="D30" i="1"/>
  <c r="D37" i="1"/>
  <c r="D23" i="1"/>
  <c r="D38" i="2"/>
  <c r="G11" i="1"/>
  <c r="D14" i="1" s="1"/>
  <c r="D24" i="2"/>
  <c r="D31" i="2"/>
  <c r="D16" i="1"/>
  <c r="D15" i="2"/>
  <c r="D24" i="1" l="1"/>
  <c r="D31" i="1"/>
  <c r="D38" i="1"/>
  <c r="F15" i="2"/>
  <c r="G15" i="2" s="1"/>
  <c r="F16" i="1"/>
  <c r="G16" i="1"/>
  <c r="F16" i="2"/>
  <c r="G16" i="2" s="1"/>
  <c r="F14" i="1"/>
  <c r="G14" i="1" s="1"/>
  <c r="D25" i="2" l="1"/>
  <c r="D28" i="2" s="1"/>
  <c r="D32" i="2"/>
  <c r="D35" i="2" s="1"/>
  <c r="D39" i="2"/>
  <c r="D42" i="2" s="1"/>
  <c r="D33" i="1"/>
  <c r="D34" i="1" s="1"/>
  <c r="D26" i="1"/>
  <c r="D27" i="1" s="1"/>
  <c r="D40" i="2"/>
  <c r="G24" i="2"/>
  <c r="G28" i="2"/>
  <c r="G23" i="1"/>
  <c r="D39" i="1"/>
  <c r="D41" i="1" s="1"/>
  <c r="G2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15" authorId="0" shapeId="0" xr:uid="{00000000-0006-0000-0200-000001000000}">
      <text>
        <r>
          <rPr>
            <sz val="11"/>
            <color theme="1"/>
            <rFont val="Calibri"/>
            <family val="2"/>
            <scheme val="minor"/>
          </rPr>
          <t xml:space="preserve">Dell:
</t>
        </r>
      </text>
    </comment>
  </commentList>
</comments>
</file>

<file path=xl/sharedStrings.xml><?xml version="1.0" encoding="utf-8"?>
<sst xmlns="http://schemas.openxmlformats.org/spreadsheetml/2006/main" count="122" uniqueCount="68">
  <si>
    <t>RESIDENTIAL CALCULATION</t>
  </si>
  <si>
    <t>PLACEMENT &amp; MANAGEMENT %   -   RENT IN OWNER'S POCKET</t>
  </si>
  <si>
    <t>UNIT NUMBER</t>
  </si>
  <si>
    <t>COMPLEX NAME</t>
  </si>
  <si>
    <t>PROPERTY ADDRESS</t>
  </si>
  <si>
    <t>DATE</t>
  </si>
  <si>
    <t>OCCUPATION DATE</t>
  </si>
  <si>
    <t>DAY</t>
  </si>
  <si>
    <t>June</t>
  </si>
  <si>
    <t>MONTH</t>
  </si>
  <si>
    <t>PLACEMENT AND MANAGEMENT FEES</t>
  </si>
  <si>
    <t>EXCL VAT</t>
  </si>
  <si>
    <t>MONTHLY</t>
  </si>
  <si>
    <t>TERM</t>
  </si>
  <si>
    <t>CONTRACT
VALUE</t>
  </si>
  <si>
    <t>Marketing Amount</t>
  </si>
  <si>
    <t>Amount in Owner's pocket</t>
  </si>
  <si>
    <t>FEES</t>
  </si>
  <si>
    <t>VAT</t>
  </si>
  <si>
    <t>Placement Fee (New Tenant)</t>
  </si>
  <si>
    <t>Monthly Manangement Fee</t>
  </si>
  <si>
    <t>Rental &amp; Eviction Protection (3.1% + R50 admin)</t>
  </si>
  <si>
    <t>LEASE RENEWAL FEE</t>
  </si>
  <si>
    <t>Renewal commission fee</t>
  </si>
  <si>
    <t>OF CONTRACT RENEWAL VALUE</t>
  </si>
  <si>
    <t>Placement Payment Term</t>
  </si>
  <si>
    <t>RENTAL &amp; EVICTION PROTECTION</t>
  </si>
  <si>
    <t>RENT IN OWNERS POCKET FIRST MONTH</t>
  </si>
  <si>
    <t>1st Month Rental</t>
  </si>
  <si>
    <t>Total premiums (10 months if Diamond Package selected - 12m term only)</t>
  </si>
  <si>
    <t>Monthly Management Fee</t>
  </si>
  <si>
    <t>Rental &amp; Eviction Protection - Paid by RE/MAX on Diamond</t>
  </si>
  <si>
    <t>Placement Fee</t>
  </si>
  <si>
    <t>Owners Pocket</t>
  </si>
  <si>
    <t>Total premiums (12 months if Platinum Package selected)</t>
  </si>
  <si>
    <t>RENT IN OWNERS POCKET SECOND MONTH</t>
  </si>
  <si>
    <t>2nd Months Rental</t>
  </si>
  <si>
    <t>1st month protection (50%) for absondment or default</t>
  </si>
  <si>
    <t>Placement Fee Left</t>
  </si>
  <si>
    <t>Plus 5 months 100% protection.  While eviction is in process.</t>
  </si>
  <si>
    <t>RENT IN OWNERS POCKET THIRD MONTH</t>
  </si>
  <si>
    <t>3rd Months Rental</t>
  </si>
  <si>
    <t>Rental &amp; Eviction Protection (3.5% + R50 admin)</t>
  </si>
  <si>
    <t>The owner's in-pocket amount is payable exclusively if we do not cover any municipal or body corporate accounts on your behalf. It's crucial to highlight that in cases where we handle property tax and levies on your behalf, these expenses will be deducted from the rent you receive.</t>
  </si>
  <si>
    <t>Name and Surname</t>
  </si>
  <si>
    <t>Signature</t>
  </si>
  <si>
    <t>Date Accepted</t>
  </si>
  <si>
    <t>PLACEMENT &amp; MANAGEMENT FIXED   -   RENT IN OWNER'S POCKET</t>
  </si>
  <si>
    <t>December</t>
  </si>
  <si>
    <t>Placement Fee (New Tenant) / Or Once-Off Procurement Fee</t>
  </si>
  <si>
    <t>If Procurement Only Shortfall to be paid to RE/MAX</t>
  </si>
  <si>
    <t>Balance to be Paid to RE/MAX  (IF CREDIT IT WILL BE PAID TO THE OWNER)</t>
  </si>
  <si>
    <t>Rental &amp; Eviction Protection - Paid by RE/MAX if Diamond</t>
  </si>
  <si>
    <t>Months</t>
  </si>
  <si>
    <t>January</t>
  </si>
  <si>
    <t>February</t>
  </si>
  <si>
    <t>March</t>
  </si>
  <si>
    <t>April</t>
  </si>
  <si>
    <t>May</t>
  </si>
  <si>
    <t>July</t>
  </si>
  <si>
    <t>August</t>
  </si>
  <si>
    <t>September</t>
  </si>
  <si>
    <t>October</t>
  </si>
  <si>
    <t>November</t>
  </si>
  <si>
    <t>Tenrisk</t>
  </si>
  <si>
    <t>No Tenrisk</t>
  </si>
  <si>
    <t>Not option</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</si>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</sst>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0.00_-;\-&quot;R&quot;* #,##0.00_-;_-&quot;R&quot;* &quot;-&quot;??_-;_-@_-"/>
    <numFmt numFmtId="43" formatCode="_-* #,##0.00_-;\-* #,##0.00_-;_-* &quot;-&quot;??_-;_-@_-"/>
    <numFmt numFmtId="164" formatCode="_(* #,##0.00_);_(* \(#,##0.00\);_(* &quot;-&quot;??_);_(@_)"/>
    <numFmt numFmtId="165" formatCode="[$-409]d\-mmm\-yy;@"/>
    <numFmt numFmtId="166" formatCode="0.0%"/>
  </numFmts>
  <fonts count="11"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b/>
      <sz val="12"/>
      <color theme="0"/>
      <name val="Calibri"/>
      <family val="2"/>
      <scheme val="minor"/>
    </font>
    <font>
      <sz val="12"/>
      <color theme="1"/>
      <name val="Calibri"/>
      <family val="2"/>
      <scheme val="minor"/>
    </font>
    <font>
      <b/>
      <sz val="12"/>
      <color theme="1"/>
      <name val="Calibri"/>
      <family val="2"/>
      <scheme val="minor"/>
    </font>
    <font>
      <b/>
      <sz val="10"/>
      <color theme="1"/>
      <name val="Calibri"/>
      <family val="2"/>
      <scheme val="minor"/>
    </font>
    <font>
      <sz val="10"/>
      <color theme="1"/>
      <name val="Calibri"/>
      <family val="2"/>
      <scheme val="minor"/>
    </font>
    <font>
      <b/>
      <sz val="14"/>
      <color theme="0"/>
      <name val="Calibri"/>
      <family val="2"/>
      <scheme val="minor"/>
    </font>
    <font>
      <b/>
      <sz val="9"/>
      <color theme="1"/>
      <name val="Calibri"/>
      <family val="2"/>
      <scheme val="minor"/>
    </font>
  </fonts>
  <fills count="12">
    <fill>
      <patternFill patternType="none"/>
    </fill>
    <fill>
      <patternFill patternType="gray125"/>
    </fill>
    <fill>
      <patternFill patternType="solid">
        <fgColor rgb="FFB22B2E"/>
        <bgColor indexed="64"/>
      </patternFill>
    </fill>
    <fill>
      <patternFill patternType="solid">
        <fgColor rgb="FF1A3668"/>
        <bgColor indexed="64"/>
      </patternFill>
    </fill>
    <fill>
      <patternFill patternType="solid">
        <fgColor theme="0" tint="-0.499984740745262"/>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3" tint="0.79998168889431442"/>
        <bgColor indexed="64"/>
      </patternFill>
    </fill>
    <fill>
      <patternFill patternType="solid">
        <fgColor rgb="FFFFFFCC"/>
        <bgColor indexed="64"/>
      </patternFill>
    </fill>
    <fill>
      <patternFill patternType="solid">
        <fgColor theme="0"/>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
      <left style="double">
        <color rgb="FF1A3668"/>
      </left>
      <right style="thin">
        <color indexed="64"/>
      </right>
      <top style="double">
        <color rgb="FF1A3668"/>
      </top>
      <bottom style="thin">
        <color indexed="64"/>
      </bottom>
      <diagonal/>
    </border>
    <border>
      <left/>
      <right style="double">
        <color rgb="FF1A3668"/>
      </right>
      <top style="thin">
        <color indexed="64"/>
      </top>
      <bottom/>
      <diagonal/>
    </border>
    <border>
      <left/>
      <right style="double">
        <color rgb="FF1A3668"/>
      </right>
      <top/>
      <bottom/>
      <diagonal/>
    </border>
    <border>
      <left/>
      <right style="double">
        <color rgb="FF1A3668"/>
      </right>
      <top/>
      <bottom style="double">
        <color rgb="FF1A3668"/>
      </bottom>
      <diagonal/>
    </border>
    <border>
      <left style="double">
        <color rgb="FF1A3668"/>
      </left>
      <right style="thin">
        <color rgb="FF1A3668"/>
      </right>
      <top style="thin">
        <color indexed="64"/>
      </top>
      <bottom/>
      <diagonal/>
    </border>
    <border>
      <left style="double">
        <color rgb="FF1A3668"/>
      </left>
      <right style="thin">
        <color rgb="FF1A3668"/>
      </right>
      <top/>
      <bottom/>
      <diagonal/>
    </border>
    <border>
      <left style="double">
        <color rgb="FF1A3668"/>
      </left>
      <right style="thin">
        <color rgb="FF1A3668"/>
      </right>
      <top/>
      <bottom style="double">
        <color rgb="FF1A3668"/>
      </bottom>
      <diagonal/>
    </border>
    <border>
      <left/>
      <right style="double">
        <color indexed="64"/>
      </right>
      <top style="thin">
        <color indexed="64"/>
      </top>
      <bottom/>
      <diagonal/>
    </border>
    <border>
      <left/>
      <right style="double">
        <color indexed="64"/>
      </right>
      <top/>
      <bottom/>
      <diagonal/>
    </border>
    <border>
      <left/>
      <right style="double">
        <color indexed="64"/>
      </right>
      <top/>
      <bottom style="thin">
        <color indexed="64"/>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rgb="FF1A3668"/>
      </right>
      <top style="thin">
        <color indexed="64"/>
      </top>
      <bottom/>
      <diagonal/>
    </border>
    <border>
      <left style="double">
        <color indexed="64"/>
      </left>
      <right style="thin">
        <color rgb="FF1A3668"/>
      </right>
      <top/>
      <bottom/>
      <diagonal/>
    </border>
    <border>
      <left style="double">
        <color indexed="64"/>
      </left>
      <right style="thin">
        <color rgb="FF1A3668"/>
      </right>
      <top/>
      <bottom style="double">
        <color rgb="FF1A3668"/>
      </bottom>
      <diagonal/>
    </border>
    <border>
      <left/>
      <right style="double">
        <color indexed="64"/>
      </right>
      <top/>
      <bottom style="double">
        <color rgb="FF1A3668"/>
      </bottom>
      <diagonal/>
    </border>
    <border>
      <left style="double">
        <color rgb="FF1A3668"/>
      </left>
      <right style="thin">
        <color indexed="64"/>
      </right>
      <top/>
      <bottom/>
      <diagonal/>
    </border>
    <border>
      <left style="double">
        <color rgb="FF1A3668"/>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style="thin">
        <color rgb="FF1A3668"/>
      </right>
      <top style="thin">
        <color indexed="64"/>
      </top>
      <bottom style="double">
        <color rgb="FF1A3668"/>
      </bottom>
      <diagonal/>
    </border>
    <border>
      <left/>
      <right style="double">
        <color indexed="64"/>
      </right>
      <top style="thin">
        <color indexed="64"/>
      </top>
      <bottom style="double">
        <color rgb="FF1A3668"/>
      </bottom>
      <diagonal/>
    </border>
    <border>
      <left/>
      <right style="thin">
        <color indexed="64"/>
      </right>
      <top style="double">
        <color rgb="FF1A3668"/>
      </top>
      <bottom/>
      <diagonal/>
    </border>
    <border>
      <left style="double">
        <color rgb="FF1A3668"/>
      </left>
      <right/>
      <top/>
      <bottom style="thin">
        <color indexed="64"/>
      </bottom>
      <diagonal/>
    </border>
    <border>
      <left/>
      <right style="thin">
        <color indexed="64"/>
      </right>
      <top/>
      <bottom style="thin">
        <color indexed="64"/>
      </bottom>
      <diagonal/>
    </border>
    <border>
      <left style="double">
        <color indexed="64"/>
      </left>
      <right style="thin">
        <color indexed="64"/>
      </right>
      <top style="double">
        <color indexed="64"/>
      </top>
      <bottom style="thin">
        <color indexed="64"/>
      </bottom>
      <diagonal/>
    </border>
    <border>
      <left/>
      <right style="double">
        <color indexed="64"/>
      </right>
      <top style="double">
        <color indexed="64"/>
      </top>
      <bottom style="thin">
        <color indexed="64"/>
      </bottom>
      <diagonal/>
    </border>
    <border>
      <left style="double">
        <color rgb="FF1A3668"/>
      </left>
      <right style="thin">
        <color rgb="FF1A3668"/>
      </right>
      <top style="thin">
        <color indexed="64"/>
      </top>
      <bottom style="double">
        <color rgb="FF1A3668"/>
      </bottom>
      <diagonal/>
    </border>
    <border>
      <left/>
      <right style="double">
        <color rgb="FF1A3668"/>
      </right>
      <top style="thin">
        <color indexed="64"/>
      </top>
      <bottom style="double">
        <color rgb="FF1A3668"/>
      </bottom>
      <diagonal/>
    </border>
    <border>
      <left style="double">
        <color rgb="FF1A3668"/>
      </left>
      <right style="thin">
        <color indexed="64"/>
      </right>
      <top style="double">
        <color indexed="64"/>
      </top>
      <bottom style="thin">
        <color indexed="64"/>
      </bottom>
      <diagonal/>
    </border>
  </borders>
  <cellStyleXfs count="2">
    <xf numFmtId="0" fontId="0" fillId="0" borderId="0"/>
    <xf numFmtId="9" fontId="1" fillId="0" borderId="0"/>
  </cellStyleXfs>
  <cellXfs count="129">
    <xf numFmtId="0" fontId="0" fillId="0" borderId="0" xfId="0"/>
    <xf numFmtId="0" fontId="0" fillId="0" borderId="0" xfId="0" applyAlignment="1">
      <alignment horizontal="left" vertical="center"/>
    </xf>
    <xf numFmtId="0" fontId="0" fillId="0" borderId="0" xfId="0" applyAlignment="1">
      <alignment vertical="center"/>
    </xf>
    <xf numFmtId="44" fontId="0" fillId="0" borderId="0" xfId="0" applyNumberFormat="1" applyAlignment="1">
      <alignment horizontal="left" vertical="center"/>
    </xf>
    <xf numFmtId="44" fontId="0" fillId="0" borderId="0" xfId="0" applyNumberFormat="1" applyAlignment="1">
      <alignment vertical="center"/>
    </xf>
    <xf numFmtId="0" fontId="2" fillId="2"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44" fontId="8" fillId="0" borderId="1" xfId="0" applyNumberFormat="1" applyFont="1" applyBorder="1" applyAlignment="1">
      <alignment horizontal="center" vertical="center"/>
    </xf>
    <xf numFmtId="0" fontId="8" fillId="0" borderId="1" xfId="0" applyFont="1" applyBorder="1" applyAlignment="1">
      <alignment horizontal="left" vertical="center"/>
    </xf>
    <xf numFmtId="10" fontId="8" fillId="5" borderId="1" xfId="1" applyNumberFormat="1" applyFont="1" applyFill="1" applyBorder="1" applyAlignment="1" applyProtection="1">
      <alignment horizontal="center" vertical="center"/>
      <protection locked="0"/>
    </xf>
    <xf numFmtId="44" fontId="8" fillId="0" borderId="1" xfId="0" applyNumberFormat="1" applyFont="1" applyBorder="1" applyAlignment="1">
      <alignment horizontal="left" vertical="center"/>
    </xf>
    <xf numFmtId="0" fontId="8" fillId="0" borderId="1" xfId="0" applyFont="1" applyBorder="1" applyAlignment="1">
      <alignment vertical="center"/>
    </xf>
    <xf numFmtId="0" fontId="3" fillId="0" borderId="1" xfId="0" applyFont="1" applyBorder="1" applyAlignment="1">
      <alignment vertical="center"/>
    </xf>
    <xf numFmtId="0" fontId="0" fillId="5" borderId="1" xfId="0" applyFill="1" applyBorder="1" applyAlignment="1" applyProtection="1">
      <alignment horizontal="center" vertical="center"/>
      <protection locked="0"/>
    </xf>
    <xf numFmtId="0" fontId="5" fillId="0" borderId="0" xfId="0" applyFont="1" applyAlignment="1">
      <alignment vertical="center"/>
    </xf>
    <xf numFmtId="44" fontId="5" fillId="0" borderId="0" xfId="0" applyNumberFormat="1" applyFont="1" applyAlignment="1">
      <alignment vertical="center"/>
    </xf>
    <xf numFmtId="165" fontId="0" fillId="5" borderId="1" xfId="0" applyNumberFormat="1" applyFill="1" applyBorder="1" applyAlignment="1" applyProtection="1">
      <alignment horizontal="center" vertical="center"/>
      <protection locked="0"/>
    </xf>
    <xf numFmtId="165" fontId="0" fillId="0" borderId="1" xfId="0" applyNumberFormat="1" applyBorder="1" applyAlignment="1">
      <alignment horizontal="center" vertical="center"/>
    </xf>
    <xf numFmtId="0" fontId="5" fillId="0" borderId="0" xfId="0" applyFont="1" applyAlignment="1">
      <alignment vertical="center" wrapText="1"/>
    </xf>
    <xf numFmtId="44" fontId="5" fillId="0" borderId="0" xfId="0" applyNumberFormat="1" applyFont="1" applyAlignment="1">
      <alignment vertical="center" wrapText="1"/>
    </xf>
    <xf numFmtId="166" fontId="8" fillId="0" borderId="1" xfId="1" applyNumberFormat="1" applyFont="1" applyBorder="1" applyAlignment="1">
      <alignment horizontal="center" vertical="center"/>
    </xf>
    <xf numFmtId="1" fontId="8" fillId="5" borderId="1" xfId="0" applyNumberFormat="1" applyFont="1" applyFill="1" applyBorder="1" applyAlignment="1" applyProtection="1">
      <alignment horizontal="center" vertical="center"/>
      <protection locked="0"/>
    </xf>
    <xf numFmtId="44" fontId="8" fillId="0" borderId="1" xfId="0" applyNumberFormat="1" applyFont="1" applyBorder="1" applyAlignment="1">
      <alignment vertical="center"/>
    </xf>
    <xf numFmtId="0" fontId="2" fillId="4" borderId="2" xfId="0" applyFont="1" applyFill="1" applyBorder="1" applyAlignment="1">
      <alignment vertical="center" wrapText="1"/>
    </xf>
    <xf numFmtId="0" fontId="2" fillId="4" borderId="4" xfId="0" applyFont="1" applyFill="1" applyBorder="1" applyAlignment="1">
      <alignment vertical="center"/>
    </xf>
    <xf numFmtId="0" fontId="2" fillId="4" borderId="4" xfId="0" applyFont="1" applyFill="1" applyBorder="1" applyAlignment="1">
      <alignment horizontal="center" vertical="center"/>
    </xf>
    <xf numFmtId="0" fontId="2" fillId="4" borderId="3" xfId="0" applyFont="1" applyFill="1" applyBorder="1" applyAlignment="1">
      <alignment vertical="center"/>
    </xf>
    <xf numFmtId="166" fontId="0" fillId="0" borderId="0" xfId="1" applyNumberFormat="1" applyFont="1" applyAlignment="1">
      <alignment horizontal="center" vertical="center"/>
    </xf>
    <xf numFmtId="44" fontId="0" fillId="0" borderId="0" xfId="0" applyNumberFormat="1" applyAlignment="1">
      <alignment horizontal="center" vertical="center"/>
    </xf>
    <xf numFmtId="1" fontId="3" fillId="0" borderId="0" xfId="0" applyNumberFormat="1" applyFont="1" applyAlignment="1">
      <alignment horizontal="center" vertical="center"/>
    </xf>
    <xf numFmtId="166" fontId="0" fillId="0" borderId="2" xfId="1" applyNumberFormat="1" applyFont="1" applyBorder="1" applyAlignment="1">
      <alignment vertical="center"/>
    </xf>
    <xf numFmtId="0" fontId="0" fillId="7" borderId="1" xfId="0" applyFill="1" applyBorder="1" applyAlignment="1" applyProtection="1">
      <alignment horizontal="center" vertical="center"/>
      <protection locked="0"/>
    </xf>
    <xf numFmtId="0" fontId="0" fillId="0" borderId="0" xfId="0" applyAlignment="1" applyProtection="1">
      <alignment horizontal="center" vertical="center"/>
      <protection locked="0"/>
    </xf>
    <xf numFmtId="0" fontId="2" fillId="3" borderId="2" xfId="0" applyFont="1" applyFill="1" applyBorder="1" applyAlignment="1">
      <alignment vertical="center"/>
    </xf>
    <xf numFmtId="0" fontId="2" fillId="3" borderId="4" xfId="0" applyFont="1" applyFill="1" applyBorder="1" applyAlignment="1">
      <alignment vertical="center"/>
    </xf>
    <xf numFmtId="0" fontId="2" fillId="3" borderId="3" xfId="0" applyFont="1" applyFill="1" applyBorder="1" applyAlignment="1">
      <alignment vertical="center"/>
    </xf>
    <xf numFmtId="0" fontId="2" fillId="0" borderId="0" xfId="0" applyFont="1" applyAlignment="1">
      <alignment vertical="center"/>
    </xf>
    <xf numFmtId="0" fontId="3" fillId="0" borderId="0" xfId="0" applyFont="1" applyAlignment="1">
      <alignment vertical="center"/>
    </xf>
    <xf numFmtId="0" fontId="7" fillId="0" borderId="2" xfId="0" applyFont="1" applyBorder="1" applyAlignment="1">
      <alignment vertical="center"/>
    </xf>
    <xf numFmtId="0" fontId="7" fillId="0" borderId="4" xfId="0" applyFont="1" applyBorder="1" applyAlignment="1">
      <alignment vertical="center"/>
    </xf>
    <xf numFmtId="44" fontId="7" fillId="0" borderId="1" xfId="0" applyNumberFormat="1" applyFont="1" applyBorder="1" applyAlignment="1">
      <alignment vertical="center"/>
    </xf>
    <xf numFmtId="44" fontId="3" fillId="0" borderId="0" xfId="0" applyNumberFormat="1" applyFont="1" applyAlignment="1">
      <alignment vertical="center"/>
    </xf>
    <xf numFmtId="0" fontId="8" fillId="0" borderId="2" xfId="0" applyFont="1" applyBorder="1" applyAlignment="1">
      <alignment vertical="center" wrapText="1"/>
    </xf>
    <xf numFmtId="0" fontId="8" fillId="0" borderId="4" xfId="0" applyFont="1" applyBorder="1" applyAlignment="1">
      <alignment vertical="center" wrapText="1"/>
    </xf>
    <xf numFmtId="44" fontId="8" fillId="0" borderId="1" xfId="0" applyNumberFormat="1" applyFont="1" applyBorder="1" applyAlignment="1">
      <alignment vertical="center" wrapText="1"/>
    </xf>
    <xf numFmtId="44" fontId="0" fillId="0" borderId="0" xfId="0" applyNumberFormat="1" applyAlignment="1">
      <alignment vertical="center" wrapText="1"/>
    </xf>
    <xf numFmtId="0" fontId="8" fillId="0" borderId="2" xfId="0" applyFont="1" applyBorder="1" applyAlignment="1">
      <alignment vertical="center"/>
    </xf>
    <xf numFmtId="0" fontId="8" fillId="0" borderId="4" xfId="0" applyFont="1" applyBorder="1" applyAlignment="1">
      <alignment vertical="center"/>
    </xf>
    <xf numFmtId="43" fontId="0" fillId="0" borderId="0" xfId="0" applyNumberFormat="1" applyAlignment="1">
      <alignment vertical="center"/>
    </xf>
    <xf numFmtId="0" fontId="7" fillId="6" borderId="2" xfId="0" applyFont="1" applyFill="1" applyBorder="1" applyAlignment="1">
      <alignment vertical="center"/>
    </xf>
    <xf numFmtId="0" fontId="7" fillId="6" borderId="4" xfId="0" applyFont="1" applyFill="1" applyBorder="1" applyAlignment="1">
      <alignment vertical="center"/>
    </xf>
    <xf numFmtId="44" fontId="7" fillId="6" borderId="1" xfId="0" applyNumberFormat="1" applyFont="1" applyFill="1" applyBorder="1" applyAlignment="1">
      <alignment vertical="center"/>
    </xf>
    <xf numFmtId="0" fontId="2" fillId="3" borderId="1" xfId="0" applyFont="1" applyFill="1" applyBorder="1" applyAlignment="1">
      <alignment vertical="center"/>
    </xf>
    <xf numFmtId="0" fontId="3" fillId="0" borderId="0" xfId="0" applyFont="1" applyAlignment="1">
      <alignment horizontal="left" vertical="center"/>
    </xf>
    <xf numFmtId="44" fontId="3" fillId="0" borderId="0" xfId="0" applyNumberFormat="1" applyFont="1" applyAlignment="1">
      <alignment horizontal="center" vertical="center"/>
    </xf>
    <xf numFmtId="0" fontId="0" fillId="0" borderId="5" xfId="0" applyBorder="1" applyAlignment="1">
      <alignment vertical="center"/>
    </xf>
    <xf numFmtId="44" fontId="0" fillId="0" borderId="5" xfId="0" applyNumberFormat="1" applyBorder="1" applyAlignment="1">
      <alignment vertical="center"/>
    </xf>
    <xf numFmtId="0" fontId="3" fillId="0" borderId="0" xfId="1" applyNumberFormat="1" applyFont="1" applyAlignment="1">
      <alignment horizontal="left" vertical="center"/>
    </xf>
    <xf numFmtId="0" fontId="3" fillId="0" borderId="0" xfId="0" applyFont="1" applyAlignment="1">
      <alignment horizontal="right" vertical="center"/>
    </xf>
    <xf numFmtId="0" fontId="6" fillId="0" borderId="0" xfId="0" applyFont="1" applyAlignment="1">
      <alignment horizontal="left" vertical="center"/>
    </xf>
    <xf numFmtId="166" fontId="8" fillId="0" borderId="2" xfId="1" applyNumberFormat="1" applyFont="1" applyBorder="1" applyAlignment="1">
      <alignment horizontal="center" vertical="center"/>
    </xf>
    <xf numFmtId="10" fontId="8" fillId="5" borderId="2" xfId="1" applyNumberFormat="1" applyFont="1" applyFill="1" applyBorder="1" applyAlignment="1" applyProtection="1">
      <alignment horizontal="center" vertical="center"/>
      <protection locked="0"/>
    </xf>
    <xf numFmtId="43" fontId="0" fillId="0" borderId="0" xfId="0" applyNumberFormat="1" applyAlignment="1">
      <alignment horizontal="left" vertical="center"/>
    </xf>
    <xf numFmtId="10" fontId="8" fillId="0" borderId="1" xfId="1" applyNumberFormat="1" applyFont="1" applyBorder="1" applyAlignment="1">
      <alignment horizontal="center" vertical="center"/>
    </xf>
    <xf numFmtId="10" fontId="0" fillId="0" borderId="0" xfId="0" applyNumberFormat="1"/>
    <xf numFmtId="44" fontId="8" fillId="5" borderId="1" xfId="0" applyNumberFormat="1" applyFont="1" applyFill="1" applyBorder="1" applyAlignment="1" applyProtection="1">
      <alignment horizontal="left" vertical="center"/>
      <protection locked="0"/>
    </xf>
    <xf numFmtId="44" fontId="3" fillId="6" borderId="1" xfId="0" applyNumberFormat="1" applyFont="1" applyFill="1" applyBorder="1"/>
    <xf numFmtId="10" fontId="8" fillId="11" borderId="1" xfId="1" applyNumberFormat="1" applyFont="1" applyFill="1" applyBorder="1" applyAlignment="1" applyProtection="1">
      <alignment horizontal="center" vertical="center"/>
      <protection locked="0"/>
    </xf>
    <xf numFmtId="164" fontId="0" fillId="0" borderId="1" xfId="0" applyNumberFormat="1" applyBorder="1" applyAlignment="1">
      <alignment vertical="center"/>
    </xf>
    <xf numFmtId="165" fontId="0" fillId="5" borderId="1" xfId="0" applyNumberFormat="1" applyFill="1" applyBorder="1" applyAlignment="1" applyProtection="1">
      <alignment horizontal="center" vertical="center"/>
      <protection locked="0"/>
    </xf>
    <xf numFmtId="0" fontId="0" fillId="0" borderId="4" xfId="0" applyBorder="1" applyProtection="1">
      <protection locked="0"/>
    </xf>
    <xf numFmtId="0" fontId="0" fillId="0" borderId="3" xfId="0" applyBorder="1" applyProtection="1">
      <protection locked="0"/>
    </xf>
    <xf numFmtId="0" fontId="9" fillId="3" borderId="1" xfId="0" applyFont="1" applyFill="1" applyBorder="1" applyAlignment="1">
      <alignment horizontal="center" vertical="center"/>
    </xf>
    <xf numFmtId="0" fontId="0" fillId="0" borderId="4" xfId="0" applyBorder="1"/>
    <xf numFmtId="0" fontId="0" fillId="0" borderId="3" xfId="0" applyBorder="1"/>
    <xf numFmtId="0" fontId="4" fillId="3" borderId="6" xfId="0" applyFont="1" applyFill="1" applyBorder="1" applyAlignment="1">
      <alignment horizontal="center" vertical="center"/>
    </xf>
    <xf numFmtId="0" fontId="0" fillId="0" borderId="6" xfId="0" applyBorder="1"/>
    <xf numFmtId="0" fontId="0" fillId="5" borderId="1" xfId="0" applyFill="1" applyBorder="1" applyAlignment="1" applyProtection="1">
      <alignment horizontal="center" vertical="center"/>
      <protection locked="0"/>
    </xf>
    <xf numFmtId="44" fontId="8" fillId="0" borderId="1" xfId="0" applyNumberFormat="1" applyFont="1" applyBorder="1" applyAlignment="1">
      <alignment horizontal="center" vertical="center"/>
    </xf>
    <xf numFmtId="0" fontId="2" fillId="4" borderId="1" xfId="0" applyFont="1" applyFill="1" applyBorder="1" applyAlignment="1">
      <alignment horizontal="left" vertical="center" wrapText="1"/>
    </xf>
    <xf numFmtId="1" fontId="8" fillId="0" borderId="1" xfId="0" applyNumberFormat="1" applyFont="1" applyBorder="1" applyAlignment="1">
      <alignment horizontal="left" vertical="center" indent="1"/>
    </xf>
    <xf numFmtId="0" fontId="0" fillId="0" borderId="1" xfId="0" applyBorder="1" applyAlignment="1">
      <alignment horizontal="center" vertical="center"/>
    </xf>
    <xf numFmtId="44" fontId="2" fillId="8" borderId="7" xfId="0" applyNumberFormat="1" applyFont="1" applyFill="1" applyBorder="1" applyAlignment="1">
      <alignment horizontal="center" vertical="center" wrapText="1"/>
    </xf>
    <xf numFmtId="0" fontId="0" fillId="0" borderId="29" xfId="0" applyBorder="1"/>
    <xf numFmtId="0" fontId="0" fillId="0" borderId="30" xfId="0" applyBorder="1"/>
    <xf numFmtId="0" fontId="0" fillId="0" borderId="31" xfId="0" applyBorder="1"/>
    <xf numFmtId="165" fontId="0" fillId="0" borderId="1" xfId="0" applyNumberFormat="1" applyBorder="1" applyAlignment="1">
      <alignment horizontal="center" vertical="center"/>
    </xf>
    <xf numFmtId="0" fontId="2" fillId="2" borderId="1" xfId="0" applyFont="1" applyFill="1" applyBorder="1" applyAlignment="1">
      <alignment horizontal="center" vertical="center" wrapText="1"/>
    </xf>
    <xf numFmtId="44" fontId="8" fillId="5" borderId="1" xfId="0" applyNumberFormat="1" applyFont="1" applyFill="1" applyBorder="1" applyAlignment="1" applyProtection="1">
      <alignment horizontal="center" vertical="center"/>
      <protection locked="0"/>
    </xf>
    <xf numFmtId="0" fontId="3" fillId="6" borderId="1" xfId="0" applyFont="1" applyFill="1" applyBorder="1" applyAlignment="1">
      <alignment horizontal="left"/>
    </xf>
    <xf numFmtId="0" fontId="8" fillId="0" borderId="0" xfId="0" applyFont="1" applyAlignment="1">
      <alignment horizontal="left" vertical="center" wrapText="1"/>
    </xf>
    <xf numFmtId="166" fontId="0" fillId="0" borderId="0" xfId="1" applyNumberFormat="1" applyFont="1" applyAlignment="1">
      <alignment horizontal="center" vertical="center"/>
    </xf>
    <xf numFmtId="44" fontId="0" fillId="0" borderId="0" xfId="0" applyNumberFormat="1" applyAlignment="1">
      <alignment vertical="center"/>
    </xf>
    <xf numFmtId="1" fontId="3" fillId="0" borderId="0" xfId="0" applyNumberFormat="1" applyFont="1" applyAlignment="1">
      <alignment horizontal="center" vertical="center"/>
    </xf>
    <xf numFmtId="0" fontId="0" fillId="0" borderId="5" xfId="0" applyBorder="1" applyAlignment="1">
      <alignment horizontal="center" vertical="center"/>
    </xf>
    <xf numFmtId="0" fontId="0" fillId="0" borderId="5" xfId="0" applyBorder="1"/>
    <xf numFmtId="0" fontId="0" fillId="3" borderId="1" xfId="0" applyFill="1" applyBorder="1" applyAlignment="1">
      <alignment horizontal="center" vertical="center"/>
    </xf>
    <xf numFmtId="0" fontId="10" fillId="0" borderId="25" xfId="0" applyFont="1" applyBorder="1" applyAlignment="1">
      <alignment horizontal="center" vertical="center" wrapText="1"/>
    </xf>
    <xf numFmtId="0" fontId="0" fillId="0" borderId="17" xfId="0" applyBorder="1"/>
    <xf numFmtId="0" fontId="0" fillId="0" borderId="18" xfId="0" applyBorder="1"/>
    <xf numFmtId="44" fontId="10" fillId="0" borderId="26" xfId="0" applyNumberFormat="1" applyFont="1" applyBorder="1" applyAlignment="1">
      <alignment horizontal="center" vertical="center"/>
    </xf>
    <xf numFmtId="0" fontId="0" fillId="0" borderId="15" xfId="0" applyBorder="1"/>
    <xf numFmtId="0" fontId="0" fillId="0" borderId="16" xfId="0" applyBorder="1"/>
    <xf numFmtId="0" fontId="10" fillId="9" borderId="11" xfId="0" applyFont="1" applyFill="1" applyBorder="1" applyAlignment="1">
      <alignment horizontal="center" vertical="center" wrapText="1"/>
    </xf>
    <xf numFmtId="0" fontId="0" fillId="0" borderId="12" xfId="0" applyBorder="1"/>
    <xf numFmtId="44" fontId="10" fillId="9" borderId="8" xfId="0" applyNumberFormat="1" applyFont="1" applyFill="1" applyBorder="1" applyAlignment="1">
      <alignment horizontal="center" vertical="center"/>
    </xf>
    <xf numFmtId="0" fontId="0" fillId="0" borderId="9" xfId="0" applyBorder="1"/>
    <xf numFmtId="0" fontId="10" fillId="9" borderId="34" xfId="0" applyFont="1" applyFill="1" applyBorder="1" applyAlignment="1">
      <alignment horizontal="center" vertical="center" wrapText="1"/>
    </xf>
    <xf numFmtId="0" fontId="0" fillId="0" borderId="13" xfId="0" applyBorder="1"/>
    <xf numFmtId="44" fontId="10" fillId="9" borderId="35" xfId="0" applyNumberFormat="1" applyFont="1" applyFill="1" applyBorder="1" applyAlignment="1">
      <alignment horizontal="center" vertical="center"/>
    </xf>
    <xf numFmtId="0" fontId="0" fillId="0" borderId="10" xfId="0" applyBorder="1"/>
    <xf numFmtId="0" fontId="10" fillId="10" borderId="36" xfId="0" applyFont="1" applyFill="1" applyBorder="1" applyAlignment="1">
      <alignment horizontal="center" vertical="center" wrapText="1"/>
    </xf>
    <xf numFmtId="0" fontId="0" fillId="0" borderId="23" xfId="0" applyBorder="1"/>
    <xf numFmtId="0" fontId="0" fillId="0" borderId="24" xfId="0" applyBorder="1"/>
    <xf numFmtId="44" fontId="10" fillId="10" borderId="26" xfId="0" applyNumberFormat="1" applyFont="1" applyFill="1" applyBorder="1" applyAlignment="1">
      <alignment horizontal="center" vertical="center"/>
    </xf>
    <xf numFmtId="0" fontId="10" fillId="9" borderId="19" xfId="0" applyFont="1" applyFill="1" applyBorder="1" applyAlignment="1">
      <alignment horizontal="center" vertical="center" wrapText="1"/>
    </xf>
    <xf numFmtId="0" fontId="0" fillId="0" borderId="20" xfId="0" applyBorder="1"/>
    <xf numFmtId="44" fontId="10" fillId="9" borderId="14" xfId="0" applyNumberFormat="1" applyFont="1" applyFill="1" applyBorder="1" applyAlignment="1">
      <alignment horizontal="center" vertical="center"/>
    </xf>
    <xf numFmtId="0" fontId="10" fillId="9" borderId="27" xfId="0" applyFont="1" applyFill="1" applyBorder="1" applyAlignment="1">
      <alignment horizontal="center" vertical="center" wrapText="1"/>
    </xf>
    <xf numFmtId="0" fontId="0" fillId="0" borderId="21" xfId="0" applyBorder="1"/>
    <xf numFmtId="44" fontId="10" fillId="9" borderId="28" xfId="0" applyNumberFormat="1" applyFont="1" applyFill="1" applyBorder="1" applyAlignment="1">
      <alignment horizontal="center" vertical="center"/>
    </xf>
    <xf numFmtId="0" fontId="0" fillId="0" borderId="22" xfId="0" applyBorder="1"/>
    <xf numFmtId="0" fontId="10" fillId="10" borderId="32" xfId="0" applyFont="1" applyFill="1" applyBorder="1" applyAlignment="1">
      <alignment horizontal="center" vertical="center" wrapText="1"/>
    </xf>
    <xf numFmtId="44" fontId="10" fillId="10" borderId="33" xfId="0" applyNumberFormat="1" applyFont="1" applyFill="1" applyBorder="1" applyAlignment="1">
      <alignment horizontal="center" vertical="center"/>
    </xf>
    <xf numFmtId="0" fontId="0" fillId="5" borderId="2" xfId="0" applyNumberFormat="1" applyFill="1" applyBorder="1" applyAlignment="1" applyProtection="1">
      <alignment horizontal="center" vertical="center"/>
      <protection locked="0"/>
    </xf>
    <xf numFmtId="0" fontId="0" fillId="0" borderId="4" xfId="0" applyNumberFormat="1" applyBorder="1" applyAlignment="1"/>
    <xf numFmtId="0" fontId="0" fillId="0" borderId="3" xfId="0" applyNumberFormat="1" applyBorder="1" applyAlignment="1"/>
  </cellXfs>
  <cellStyles count="2">
    <cellStyle name="Normal" xfId="0" builtinId="0"/>
    <cellStyle name="Percent" xfId="1" builtinId="5"/>
  </cellStyles>
  <dxfs count="4">
    <dxf>
      <fill>
        <patternFill patternType="solid">
          <bgColor theme="1" tint="0.499984740745262"/>
        </patternFill>
      </fill>
    </dxf>
    <dxf>
      <fill>
        <patternFill patternType="solid">
          <bgColor theme="1" tint="0.499984740745262"/>
        </patternFill>
      </fill>
    </dxf>
    <dxf>
      <fill>
        <patternFill patternType="solid">
          <bgColor theme="1" tint="0.499984740745262"/>
        </patternFill>
      </fill>
    </dxf>
    <dxf>
      <fill>
        <patternFill patternType="solid">
          <bgColor theme="1"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L48"/>
  <sheetViews>
    <sheetView zoomScaleNormal="100" workbookViewId="0">
      <pane ySplit="2" topLeftCell="A3" activePane="bottomLeft" state="frozen"/>
      <selection activeCell="D8" sqref="D8:E8"/>
      <selection pane="bottomLeft" activeCell="D8" sqref="D8:E8"/>
    </sheetView>
  </sheetViews>
  <sheetFormatPr defaultColWidth="9.1796875" defaultRowHeight="14.5" x14ac:dyDescent="0.35"/>
  <cols>
    <col min="1" max="1" width="41.7265625" style="2" customWidth="1"/>
    <col min="2" max="2" width="8.7265625" style="29" bestFit="1" customWidth="1"/>
    <col min="3" max="3" width="8.7265625" style="29" hidden="1" customWidth="1"/>
    <col min="4" max="4" width="14.26953125" style="4" customWidth="1"/>
    <col min="5" max="5" width="3.1796875" style="4" customWidth="1"/>
    <col min="6" max="6" width="15.26953125" style="31" customWidth="1"/>
    <col min="7" max="7" width="14.26953125" style="4" customWidth="1"/>
    <col min="8" max="8" width="9.54296875" style="2" bestFit="1" customWidth="1"/>
    <col min="9" max="9" width="10.54296875" style="2" bestFit="1" customWidth="1"/>
    <col min="10" max="10" width="13.7265625" style="4" bestFit="1" customWidth="1"/>
    <col min="11" max="11" width="9.1796875" style="2" customWidth="1"/>
    <col min="12" max="12" width="11.26953125" style="2" bestFit="1" customWidth="1"/>
    <col min="13" max="13" width="9.1796875" style="2" customWidth="1"/>
    <col min="14" max="16384" width="9.1796875" style="2"/>
  </cols>
  <sheetData>
    <row r="1" spans="1:12" ht="18.5" customHeight="1" x14ac:dyDescent="0.35">
      <c r="A1" s="74" t="s">
        <v>0</v>
      </c>
      <c r="B1" s="75"/>
      <c r="C1" s="75"/>
      <c r="D1" s="75"/>
      <c r="E1" s="75"/>
      <c r="F1" s="75"/>
      <c r="G1" s="76"/>
    </row>
    <row r="2" spans="1:12" ht="15.5" customHeight="1" x14ac:dyDescent="0.35">
      <c r="A2" s="77" t="s">
        <v>1</v>
      </c>
      <c r="B2" s="78"/>
      <c r="C2" s="78"/>
      <c r="D2" s="78"/>
      <c r="E2" s="78"/>
      <c r="F2" s="78"/>
      <c r="G2" s="78"/>
    </row>
    <row r="4" spans="1:12" s="16" customFormat="1" ht="15.5" customHeight="1" x14ac:dyDescent="0.35">
      <c r="A4" s="14" t="s">
        <v>2</v>
      </c>
      <c r="B4" s="79"/>
      <c r="C4" s="72"/>
      <c r="D4" s="72"/>
      <c r="E4" s="72"/>
      <c r="F4" s="72"/>
      <c r="G4" s="73"/>
      <c r="J4" s="17"/>
    </row>
    <row r="5" spans="1:12" s="16" customFormat="1" ht="15.5" customHeight="1" x14ac:dyDescent="0.35">
      <c r="A5" s="14" t="s">
        <v>3</v>
      </c>
      <c r="B5" s="79"/>
      <c r="C5" s="72"/>
      <c r="D5" s="72"/>
      <c r="E5" s="72"/>
      <c r="F5" s="72"/>
      <c r="G5" s="73"/>
      <c r="J5" s="17"/>
      <c r="L5" s="17"/>
    </row>
    <row r="6" spans="1:12" s="16" customFormat="1" ht="15.5" customHeight="1" x14ac:dyDescent="0.35">
      <c r="A6" s="14" t="s">
        <v>4</v>
      </c>
      <c r="B6" s="79"/>
      <c r="C6" s="72"/>
      <c r="D6" s="72"/>
      <c r="E6" s="72"/>
      <c r="F6" s="72"/>
      <c r="G6" s="73"/>
      <c r="J6" s="17"/>
    </row>
    <row r="7" spans="1:12" s="16" customFormat="1" ht="15.5" customHeight="1" x14ac:dyDescent="0.35">
      <c r="A7" s="14" t="s">
        <v>5</v>
      </c>
      <c r="B7" s="71"/>
      <c r="C7" s="72"/>
      <c r="D7" s="72"/>
      <c r="E7" s="72"/>
      <c r="F7" s="72"/>
      <c r="G7" s="73"/>
      <c r="J7" s="17"/>
    </row>
    <row r="8" spans="1:12" s="16" customFormat="1" ht="15.5" customHeight="1" x14ac:dyDescent="0.35">
      <c r="A8" s="14" t="s">
        <v>6</v>
      </c>
      <c r="B8" s="15">
        <v>1</v>
      </c>
      <c r="C8" s="15"/>
      <c r="D8" s="88" t="s">
        <v>7</v>
      </c>
      <c r="E8" s="76"/>
      <c r="F8" s="18" t="s">
        <v>8</v>
      </c>
      <c r="G8" s="19" t="s">
        <v>9</v>
      </c>
      <c r="J8" s="17"/>
    </row>
    <row r="10" spans="1:12" s="20" customFormat="1" ht="30" customHeight="1" x14ac:dyDescent="0.35">
      <c r="A10" s="5" t="s">
        <v>10</v>
      </c>
      <c r="B10" s="6" t="s">
        <v>11</v>
      </c>
      <c r="C10" s="7"/>
      <c r="D10" s="89" t="s">
        <v>12</v>
      </c>
      <c r="E10" s="76"/>
      <c r="F10" s="8" t="s">
        <v>13</v>
      </c>
      <c r="G10" s="6" t="s">
        <v>14</v>
      </c>
      <c r="J10" s="21"/>
    </row>
    <row r="11" spans="1:12" x14ac:dyDescent="0.35">
      <c r="A11" s="13" t="s">
        <v>15</v>
      </c>
      <c r="B11" s="22"/>
      <c r="C11" s="62"/>
      <c r="D11" s="80">
        <f>ROUNDUP(D12/(100%-C15),-1)</f>
        <v>11300</v>
      </c>
      <c r="E11" s="76"/>
      <c r="F11" s="23">
        <v>12</v>
      </c>
      <c r="G11" s="24">
        <f>D11*F11</f>
        <v>135600</v>
      </c>
    </row>
    <row r="12" spans="1:12" x14ac:dyDescent="0.35">
      <c r="A12" s="13" t="s">
        <v>16</v>
      </c>
      <c r="B12" s="22"/>
      <c r="C12" s="62"/>
      <c r="D12" s="90">
        <v>10000</v>
      </c>
      <c r="E12" s="73"/>
      <c r="F12" s="9"/>
      <c r="G12" s="24"/>
    </row>
    <row r="13" spans="1:12" ht="14.5" customHeight="1" x14ac:dyDescent="0.35">
      <c r="A13" s="25" t="s">
        <v>17</v>
      </c>
      <c r="B13" s="26"/>
      <c r="C13" s="26"/>
      <c r="D13" s="26"/>
      <c r="E13" s="26"/>
      <c r="F13" s="27" t="s">
        <v>18</v>
      </c>
      <c r="G13" s="28"/>
    </row>
    <row r="14" spans="1:12" s="1" customFormat="1" x14ac:dyDescent="0.35">
      <c r="A14" s="10" t="s">
        <v>19</v>
      </c>
      <c r="B14" s="11">
        <v>7.0999999999999994E-2</v>
      </c>
      <c r="C14" s="63">
        <f>(B14*15%)+B14</f>
        <v>8.1649999999999986E-2</v>
      </c>
      <c r="D14" s="80">
        <f>$B14*$G$11</f>
        <v>9627.5999999999985</v>
      </c>
      <c r="E14" s="76"/>
      <c r="F14" s="9">
        <f>D14*15%</f>
        <v>1444.1399999999996</v>
      </c>
      <c r="G14" s="12">
        <f>D14+F14</f>
        <v>11071.739999999998</v>
      </c>
      <c r="I14" s="64"/>
      <c r="J14" s="3"/>
    </row>
    <row r="15" spans="1:12" x14ac:dyDescent="0.35">
      <c r="A15" s="13" t="s">
        <v>20</v>
      </c>
      <c r="B15" s="11">
        <v>0.1</v>
      </c>
      <c r="C15" s="63">
        <f>(B15*15%)+B15</f>
        <v>0.115</v>
      </c>
      <c r="D15" s="80">
        <f>D11*B15</f>
        <v>1130</v>
      </c>
      <c r="E15" s="76"/>
      <c r="F15" s="9">
        <f>D15*15%</f>
        <v>169.5</v>
      </c>
      <c r="G15" s="24">
        <f>D15+F15</f>
        <v>1299.5</v>
      </c>
    </row>
    <row r="16" spans="1:12" x14ac:dyDescent="0.35">
      <c r="A16" s="13" t="s">
        <v>21</v>
      </c>
      <c r="B16" s="11">
        <v>3.1E-2</v>
      </c>
      <c r="C16" s="63"/>
      <c r="D16" s="80">
        <f>IF(B16&gt;0,(D11*B16+50),0)</f>
        <v>400.3</v>
      </c>
      <c r="E16" s="76"/>
      <c r="F16" s="9">
        <f>D16*15%</f>
        <v>60.045000000000002</v>
      </c>
      <c r="G16" s="24">
        <f>D16+F16</f>
        <v>460.34500000000003</v>
      </c>
    </row>
    <row r="17" spans="1:10" ht="10" customHeight="1" x14ac:dyDescent="0.35">
      <c r="F17" s="30"/>
    </row>
    <row r="18" spans="1:10" ht="14.5" customHeight="1" x14ac:dyDescent="0.35">
      <c r="A18" s="81" t="s">
        <v>22</v>
      </c>
      <c r="B18" s="75"/>
      <c r="C18" s="75"/>
      <c r="D18" s="75"/>
      <c r="E18" s="75"/>
      <c r="F18" s="75"/>
      <c r="G18" s="76"/>
    </row>
    <row r="19" spans="1:10" s="1" customFormat="1" x14ac:dyDescent="0.35">
      <c r="A19" s="13" t="s">
        <v>23</v>
      </c>
      <c r="B19" s="11">
        <v>4.4999999999999998E-2</v>
      </c>
      <c r="C19" s="11"/>
      <c r="D19" s="82" t="s">
        <v>24</v>
      </c>
      <c r="E19" s="75"/>
      <c r="F19" s="75"/>
      <c r="G19" s="76"/>
      <c r="J19" s="3"/>
    </row>
    <row r="20" spans="1:10" ht="15" customHeight="1" thickBot="1" x14ac:dyDescent="0.4"/>
    <row r="21" spans="1:10" ht="15" customHeight="1" thickTop="1" x14ac:dyDescent="0.35">
      <c r="A21" s="83" t="s">
        <v>25</v>
      </c>
      <c r="B21" s="76"/>
      <c r="C21" s="32"/>
      <c r="D21" s="33">
        <v>1</v>
      </c>
      <c r="E21" s="34"/>
      <c r="F21" s="84" t="s">
        <v>26</v>
      </c>
      <c r="G21" s="85"/>
    </row>
    <row r="22" spans="1:10" s="39" customFormat="1" ht="15" customHeight="1" thickBot="1" x14ac:dyDescent="0.4">
      <c r="A22" s="35" t="s">
        <v>27</v>
      </c>
      <c r="B22" s="36"/>
      <c r="C22" s="36"/>
      <c r="D22" s="37"/>
      <c r="E22" s="38"/>
      <c r="F22" s="86"/>
      <c r="G22" s="87"/>
    </row>
    <row r="23" spans="1:10" s="39" customFormat="1" ht="15" customHeight="1" thickTop="1" x14ac:dyDescent="0.35">
      <c r="A23" s="40" t="s">
        <v>28</v>
      </c>
      <c r="B23" s="41"/>
      <c r="C23" s="41"/>
      <c r="D23" s="42">
        <f>D11</f>
        <v>11300</v>
      </c>
      <c r="E23" s="43"/>
      <c r="F23" s="124" t="s">
        <v>29</v>
      </c>
      <c r="G23" s="125">
        <f>$G$16*10</f>
        <v>4603.4500000000007</v>
      </c>
    </row>
    <row r="24" spans="1:10" s="20" customFormat="1" ht="15.5" customHeight="1" x14ac:dyDescent="0.35">
      <c r="A24" s="44" t="s">
        <v>30</v>
      </c>
      <c r="B24" s="45"/>
      <c r="C24" s="45"/>
      <c r="D24" s="46">
        <f>G15</f>
        <v>1299.5</v>
      </c>
      <c r="E24" s="47"/>
      <c r="F24" s="100"/>
      <c r="G24" s="103"/>
    </row>
    <row r="25" spans="1:10" s="20" customFormat="1" ht="15.5" customHeight="1" x14ac:dyDescent="0.35">
      <c r="A25" s="48" t="s">
        <v>31</v>
      </c>
      <c r="B25" s="49"/>
      <c r="C25" s="49"/>
      <c r="D25" s="46">
        <f>IF(AND($F$11=12,$B$14&gt;=7%,$B$15&gt;=10%),0,$G$16)</f>
        <v>0</v>
      </c>
      <c r="E25" s="47"/>
      <c r="F25" s="100"/>
      <c r="G25" s="103"/>
    </row>
    <row r="26" spans="1:10" x14ac:dyDescent="0.35">
      <c r="A26" s="48" t="s">
        <v>32</v>
      </c>
      <c r="B26" s="49"/>
      <c r="C26" s="49"/>
      <c r="D26" s="24">
        <f>IF(D21=1,(IF(D23-D24&lt;G14,D23-D24,G14)),IF(D21=2,G14/2,IF(D21=3,G14/3)))</f>
        <v>10000.5</v>
      </c>
      <c r="F26" s="101"/>
      <c r="G26" s="104"/>
      <c r="H26" s="50"/>
    </row>
    <row r="27" spans="1:10" x14ac:dyDescent="0.35">
      <c r="A27" s="51" t="s">
        <v>33</v>
      </c>
      <c r="B27" s="52"/>
      <c r="C27" s="52"/>
      <c r="D27" s="53">
        <f>D23-D24-D26-D25</f>
        <v>0</v>
      </c>
      <c r="E27" s="43"/>
      <c r="F27" s="99" t="s">
        <v>34</v>
      </c>
      <c r="G27" s="102">
        <f>$G$16*12</f>
        <v>5524.14</v>
      </c>
      <c r="H27" s="50"/>
    </row>
    <row r="28" spans="1:10" ht="10" customHeight="1" x14ac:dyDescent="0.35">
      <c r="F28" s="100"/>
      <c r="G28" s="103"/>
    </row>
    <row r="29" spans="1:10" x14ac:dyDescent="0.35">
      <c r="A29" s="54" t="s">
        <v>35</v>
      </c>
      <c r="B29" s="54"/>
      <c r="C29" s="54"/>
      <c r="D29" s="54"/>
      <c r="E29" s="38"/>
      <c r="F29" s="100"/>
      <c r="G29" s="103"/>
      <c r="J29" s="2"/>
    </row>
    <row r="30" spans="1:10" s="39" customFormat="1" x14ac:dyDescent="0.35">
      <c r="A30" s="40" t="s">
        <v>36</v>
      </c>
      <c r="B30" s="41"/>
      <c r="C30" s="41"/>
      <c r="D30" s="42">
        <f>D11</f>
        <v>11300</v>
      </c>
      <c r="E30" s="43"/>
      <c r="F30" s="101"/>
      <c r="G30" s="104"/>
    </row>
    <row r="31" spans="1:10" x14ac:dyDescent="0.35">
      <c r="A31" s="44" t="s">
        <v>30</v>
      </c>
      <c r="B31" s="45"/>
      <c r="C31" s="45"/>
      <c r="D31" s="24">
        <f>G15</f>
        <v>1299.5</v>
      </c>
      <c r="F31" s="117" t="s">
        <v>37</v>
      </c>
      <c r="G31" s="119">
        <f>IF(B16&gt;0,($D$12*50%),0)</f>
        <v>5000</v>
      </c>
    </row>
    <row r="32" spans="1:10" ht="15" customHeight="1" x14ac:dyDescent="0.35">
      <c r="A32" s="48" t="s">
        <v>31</v>
      </c>
      <c r="B32" s="49"/>
      <c r="C32" s="49"/>
      <c r="D32" s="46">
        <f>IF($F$11&gt;=12,IF($B$15&gt;=10%,0,$G$16),$G$16)</f>
        <v>0</v>
      </c>
      <c r="E32" s="47"/>
      <c r="F32" s="118"/>
      <c r="G32" s="103"/>
    </row>
    <row r="33" spans="1:10" x14ac:dyDescent="0.35">
      <c r="A33" s="48" t="s">
        <v>38</v>
      </c>
      <c r="B33" s="49"/>
      <c r="C33" s="49"/>
      <c r="D33" s="24">
        <f>IF(D21=1,G14-D26,IF(D21=2,G14/2,IF(D21=3,G14/3)))</f>
        <v>1071.239999999998</v>
      </c>
      <c r="F33" s="118"/>
      <c r="G33" s="103"/>
    </row>
    <row r="34" spans="1:10" x14ac:dyDescent="0.35">
      <c r="A34" s="51" t="s">
        <v>33</v>
      </c>
      <c r="B34" s="52"/>
      <c r="C34" s="52"/>
      <c r="D34" s="53">
        <f>D30-D31-D33-D32</f>
        <v>8929.260000000002</v>
      </c>
      <c r="E34" s="43"/>
      <c r="F34" s="118"/>
      <c r="G34" s="103"/>
    </row>
    <row r="35" spans="1:10" ht="10" customHeight="1" x14ac:dyDescent="0.35">
      <c r="A35" s="55"/>
      <c r="B35" s="55"/>
      <c r="C35" s="55"/>
      <c r="D35" s="56"/>
      <c r="E35" s="56"/>
      <c r="F35" s="120" t="s">
        <v>39</v>
      </c>
      <c r="G35" s="122">
        <f>IF(B16&gt;0,($D$12*5),0)</f>
        <v>50000</v>
      </c>
    </row>
    <row r="36" spans="1:10" x14ac:dyDescent="0.35">
      <c r="A36" s="54" t="s">
        <v>40</v>
      </c>
      <c r="B36" s="54"/>
      <c r="C36" s="54"/>
      <c r="D36" s="54"/>
      <c r="E36" s="38"/>
      <c r="F36" s="118"/>
      <c r="G36" s="103"/>
    </row>
    <row r="37" spans="1:10" x14ac:dyDescent="0.35">
      <c r="A37" s="40" t="s">
        <v>41</v>
      </c>
      <c r="B37" s="41"/>
      <c r="C37" s="41"/>
      <c r="D37" s="42">
        <f>D11</f>
        <v>11300</v>
      </c>
      <c r="E37" s="43"/>
      <c r="F37" s="118"/>
      <c r="G37" s="103"/>
    </row>
    <row r="38" spans="1:10" ht="15" customHeight="1" thickBot="1" x14ac:dyDescent="0.4">
      <c r="A38" s="44" t="s">
        <v>30</v>
      </c>
      <c r="B38" s="45"/>
      <c r="C38" s="45"/>
      <c r="D38" s="24">
        <f>G15</f>
        <v>1299.5</v>
      </c>
      <c r="F38" s="121"/>
      <c r="G38" s="123"/>
    </row>
    <row r="39" spans="1:10" ht="15" customHeight="1" thickTop="1" x14ac:dyDescent="0.35">
      <c r="A39" s="48" t="s">
        <v>42</v>
      </c>
      <c r="B39" s="49"/>
      <c r="C39" s="49"/>
      <c r="D39" s="46">
        <f>G16</f>
        <v>460.34500000000003</v>
      </c>
      <c r="E39" s="47"/>
      <c r="F39" s="4"/>
    </row>
    <row r="40" spans="1:10" x14ac:dyDescent="0.35">
      <c r="A40" s="48" t="s">
        <v>38</v>
      </c>
      <c r="B40" s="49"/>
      <c r="C40" s="49"/>
      <c r="D40" s="24">
        <f>IF(D21=1,0,IF(D21=2,0,IF(D21=3,G14/3)))</f>
        <v>0</v>
      </c>
      <c r="F40" s="4"/>
    </row>
    <row r="41" spans="1:10" x14ac:dyDescent="0.35">
      <c r="A41" s="51" t="s">
        <v>33</v>
      </c>
      <c r="B41" s="52"/>
      <c r="C41" s="52"/>
      <c r="D41" s="53">
        <f>D37-D38-D40-D39</f>
        <v>9540.1550000000007</v>
      </c>
      <c r="E41" s="43"/>
      <c r="F41" s="4"/>
    </row>
    <row r="42" spans="1:10" x14ac:dyDescent="0.35">
      <c r="A42" s="55"/>
      <c r="B42" s="55"/>
      <c r="C42" s="55"/>
      <c r="D42" s="55"/>
      <c r="E42" s="55"/>
      <c r="F42" s="55"/>
      <c r="G42" s="43"/>
      <c r="J42" s="2"/>
    </row>
    <row r="43" spans="1:10" ht="40.5" customHeight="1" x14ac:dyDescent="0.35">
      <c r="A43" s="92" t="s">
        <v>43</v>
      </c>
      <c r="B43" s="93"/>
      <c r="C43" s="93"/>
      <c r="D43" s="94"/>
      <c r="E43" s="94"/>
      <c r="F43" s="95"/>
      <c r="G43" s="94"/>
      <c r="J43" s="2"/>
    </row>
    <row r="44" spans="1:10" ht="5.15" customHeight="1" x14ac:dyDescent="0.35">
      <c r="J44" s="2"/>
    </row>
    <row r="45" spans="1:10" ht="36" customHeight="1" x14ac:dyDescent="0.35">
      <c r="A45" s="57"/>
      <c r="D45" s="96"/>
      <c r="E45" s="97"/>
      <c r="F45" s="56"/>
      <c r="G45" s="58"/>
    </row>
    <row r="46" spans="1:10" s="61" customFormat="1" ht="15.5" customHeight="1" x14ac:dyDescent="0.35">
      <c r="A46" s="55" t="s">
        <v>44</v>
      </c>
      <c r="B46" s="59"/>
      <c r="C46" s="59"/>
      <c r="D46" s="55" t="s">
        <v>45</v>
      </c>
      <c r="E46" s="55"/>
      <c r="F46" s="55"/>
      <c r="G46" s="60" t="s">
        <v>46</v>
      </c>
    </row>
    <row r="47" spans="1:10" ht="5.15" customHeight="1" x14ac:dyDescent="0.35"/>
    <row r="48" spans="1:10" x14ac:dyDescent="0.35">
      <c r="A48" s="98"/>
      <c r="B48" s="75"/>
      <c r="C48" s="75"/>
      <c r="D48" s="75"/>
      <c r="E48" s="75"/>
      <c r="F48" s="75"/>
      <c r="G48" s="76"/>
    </row>
  </sheetData>
  <sheetProtection algorithmName="SHA-512" hashValue="6Jfl9qSXUt33fvLMTFqq0fCJOgHaWddC2a4QsYzFS5lqavZnnIkVko1Y3xG6J6XHGSzzNqQX2MZsu/X4WoZLAA==" saltValue="UjBRW51ole9QFXgkHUMSEg==" spinCount="100000" sheet="1" objects="1" scenarios="1"/>
  <mergeCells count="28">
    <mergeCell ref="A43:G43"/>
    <mergeCell ref="D45:E45"/>
    <mergeCell ref="A48:G48"/>
    <mergeCell ref="D8:E8"/>
    <mergeCell ref="F27:F30"/>
    <mergeCell ref="G27:G30"/>
    <mergeCell ref="F31:F34"/>
    <mergeCell ref="G31:G34"/>
    <mergeCell ref="F35:F38"/>
    <mergeCell ref="G35:G38"/>
    <mergeCell ref="A18:G18"/>
    <mergeCell ref="D19:G19"/>
    <mergeCell ref="A21:B21"/>
    <mergeCell ref="F21:G22"/>
    <mergeCell ref="F23:F26"/>
    <mergeCell ref="G23:G26"/>
    <mergeCell ref="D16:E16"/>
    <mergeCell ref="A1:G1"/>
    <mergeCell ref="A2:G2"/>
    <mergeCell ref="B4:G4"/>
    <mergeCell ref="B5:G5"/>
    <mergeCell ref="B6:G6"/>
    <mergeCell ref="B7:G7"/>
    <mergeCell ref="D10:E10"/>
    <mergeCell ref="D11:E11"/>
    <mergeCell ref="D12:E12"/>
    <mergeCell ref="D14:E14"/>
    <mergeCell ref="D15:E15"/>
  </mergeCells>
  <conditionalFormatting sqref="D25">
    <cfRule type="cellIs" dxfId="3" priority="2" operator="lessThanOrEqual">
      <formula>0</formula>
    </cfRule>
  </conditionalFormatting>
  <conditionalFormatting sqref="D32">
    <cfRule type="cellIs" dxfId="2" priority="1" operator="lessThanOrEqual">
      <formula>0</formula>
    </cfRule>
  </conditionalFormatting>
  <printOptions horizontalCentered="1"/>
  <pageMargins left="0.23622047244094491" right="0.23622047244094491" top="0.55118110236220474" bottom="0.55118110236220474" header="0.31496062992125978" footer="0.31496062992125978"/>
  <pageSetup scale="97"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249977111117893"/>
    <pageSetUpPr fitToPage="1"/>
  </sheetPr>
  <dimension ref="A1:S47"/>
  <sheetViews>
    <sheetView tabSelected="1" zoomScale="70" zoomScaleNormal="70" workbookViewId="0">
      <pane ySplit="2" topLeftCell="A3" activePane="bottomLeft" state="frozen"/>
      <selection activeCell="A15" sqref="A15:G15"/>
      <selection pane="bottomLeft" activeCell="B8" sqref="B8:G8"/>
    </sheetView>
  </sheetViews>
  <sheetFormatPr defaultColWidth="9.1796875" defaultRowHeight="14.5" x14ac:dyDescent="0.35"/>
  <cols>
    <col min="1" max="1" width="45.90625" style="2" bestFit="1" customWidth="1"/>
    <col min="2" max="2" width="8.7265625" style="29" bestFit="1" customWidth="1"/>
    <col min="3" max="3" width="8.7265625" style="29" hidden="1" customWidth="1"/>
    <col min="4" max="4" width="14.26953125" style="4" customWidth="1"/>
    <col min="5" max="5" width="3.1796875" style="4" customWidth="1"/>
    <col min="6" max="6" width="15.26953125" style="31" customWidth="1"/>
    <col min="7" max="7" width="14.26953125" style="4" customWidth="1"/>
    <col min="8" max="8" width="9.54296875" style="2" bestFit="1" customWidth="1"/>
    <col min="9" max="9" width="10.54296875" style="2" bestFit="1" customWidth="1"/>
    <col min="10" max="10" width="13.7265625" style="4" bestFit="1" customWidth="1"/>
    <col min="11" max="11" width="9.1796875" style="2" customWidth="1"/>
    <col min="12" max="12" width="11.26953125" style="2" bestFit="1" customWidth="1"/>
    <col min="13" max="13" width="9.1796875" style="2" customWidth="1"/>
    <col min="14" max="16384" width="9.1796875" style="2"/>
  </cols>
  <sheetData>
    <row r="1" spans="1:12" ht="18.5" customHeight="1" x14ac:dyDescent="0.35">
      <c r="A1" s="74" t="s">
        <v>0</v>
      </c>
      <c r="B1" s="75"/>
      <c r="C1" s="75"/>
      <c r="D1" s="75"/>
      <c r="E1" s="75"/>
      <c r="F1" s="75"/>
      <c r="G1" s="76"/>
    </row>
    <row r="2" spans="1:12" ht="15.5" customHeight="1" x14ac:dyDescent="0.35">
      <c r="A2" s="77" t="s">
        <v>47</v>
      </c>
      <c r="B2" s="78"/>
      <c r="C2" s="78"/>
      <c r="D2" s="78"/>
      <c r="E2" s="78"/>
      <c r="F2" s="78"/>
      <c r="G2" s="78"/>
    </row>
    <row r="4" spans="1:12" s="16" customFormat="1" ht="15.5" customHeight="1" x14ac:dyDescent="0.35">
      <c r="A4" s="14" t="s">
        <v>2</v>
      </c>
      <c r="B4" s="79"/>
      <c r="C4" s="72"/>
      <c r="D4" s="72"/>
      <c r="E4" s="72"/>
      <c r="F4" s="72"/>
      <c r="G4" s="73"/>
      <c r="J4" s="17"/>
    </row>
    <row r="5" spans="1:12" s="16" customFormat="1" ht="15.5" customHeight="1" x14ac:dyDescent="0.35">
      <c r="A5" s="14" t="s">
        <v>3</v>
      </c>
      <c r="B5" s="79"/>
      <c r="C5" s="72"/>
      <c r="D5" s="72"/>
      <c r="E5" s="72"/>
      <c r="F5" s="72"/>
      <c r="G5" s="73"/>
      <c r="J5" s="17"/>
      <c r="L5" s="17"/>
    </row>
    <row r="6" spans="1:12" s="16" customFormat="1" ht="15.5" customHeight="1" x14ac:dyDescent="0.35">
      <c r="A6" s="14" t="s">
        <v>4</v>
      </c>
      <c r="B6" s="79"/>
      <c r="C6" s="72"/>
      <c r="D6" s="72"/>
      <c r="E6" s="72"/>
      <c r="F6" s="72"/>
      <c r="G6" s="73"/>
      <c r="J6" s="17"/>
    </row>
    <row r="7" spans="1:12" s="16" customFormat="1" ht="15.5" customHeight="1" x14ac:dyDescent="0.35">
      <c r="A7" s="14" t="s">
        <v>5</v>
      </c>
      <c r="B7" s="71"/>
      <c r="C7" s="72"/>
      <c r="D7" s="72"/>
      <c r="E7" s="72"/>
      <c r="F7" s="72"/>
      <c r="G7" s="73"/>
      <c r="J7" s="17"/>
    </row>
    <row r="8" spans="1:12" s="16" customFormat="1" ht="15.5" customHeight="1" x14ac:dyDescent="0.35">
      <c r="A8" s="14" t="s">
        <v>6</v>
      </c>
      <c r="B8" s="126">
        <v>1</v>
      </c>
      <c r="C8" s="127"/>
      <c r="D8" s="127"/>
      <c r="E8" s="127"/>
      <c r="F8" s="127"/>
      <c r="G8" s="128"/>
      <c r="J8" s="17"/>
    </row>
    <row r="10" spans="1:12" s="20" customFormat="1" ht="30" customHeight="1" x14ac:dyDescent="0.35">
      <c r="A10" s="5" t="s">
        <v>10</v>
      </c>
      <c r="B10" s="6" t="s">
        <v>11</v>
      </c>
      <c r="C10" s="7"/>
      <c r="D10" s="89" t="s">
        <v>12</v>
      </c>
      <c r="E10" s="76"/>
      <c r="F10" s="8" t="s">
        <v>13</v>
      </c>
      <c r="G10" s="6" t="s">
        <v>14</v>
      </c>
      <c r="J10" s="21"/>
    </row>
    <row r="11" spans="1:12" x14ac:dyDescent="0.35">
      <c r="A11" s="13" t="s">
        <v>15</v>
      </c>
      <c r="B11" s="22"/>
      <c r="C11" s="62"/>
      <c r="D11" s="80">
        <f>ROUNDUP(D12/(1-(B15*1.15)),-1)</f>
        <v>0</v>
      </c>
      <c r="E11" s="76"/>
      <c r="F11" s="23"/>
      <c r="G11" s="24">
        <f>F11*D11</f>
        <v>0</v>
      </c>
    </row>
    <row r="12" spans="1:12" x14ac:dyDescent="0.35">
      <c r="A12" s="13" t="s">
        <v>16</v>
      </c>
      <c r="B12" s="22"/>
      <c r="C12" s="62"/>
      <c r="D12" s="90"/>
      <c r="E12" s="73"/>
      <c r="F12" s="9"/>
      <c r="G12" s="24"/>
    </row>
    <row r="13" spans="1:12" ht="14.5" customHeight="1" x14ac:dyDescent="0.35">
      <c r="A13" s="25" t="s">
        <v>17</v>
      </c>
      <c r="B13" s="26"/>
      <c r="C13" s="26"/>
      <c r="D13" s="26"/>
      <c r="E13" s="26"/>
      <c r="F13" s="27" t="s">
        <v>18</v>
      </c>
      <c r="G13" s="28"/>
    </row>
    <row r="14" spans="1:12" s="1" customFormat="1" x14ac:dyDescent="0.35">
      <c r="A14" s="10" t="s">
        <v>49</v>
      </c>
      <c r="B14" s="65">
        <v>7.0000000000000007E-2</v>
      </c>
      <c r="C14" s="63">
        <f>(B14*15%)+B14</f>
        <v>8.0500000000000002E-2</v>
      </c>
      <c r="D14" s="80">
        <f>G11*B14</f>
        <v>0</v>
      </c>
      <c r="E14" s="76"/>
      <c r="F14" s="9">
        <f>D14*115/100-D14</f>
        <v>0</v>
      </c>
      <c r="G14" s="67">
        <f>D14+F14</f>
        <v>0</v>
      </c>
      <c r="I14" s="64"/>
      <c r="J14" s="3"/>
    </row>
    <row r="15" spans="1:12" x14ac:dyDescent="0.35">
      <c r="A15" s="13" t="s">
        <v>20</v>
      </c>
      <c r="B15" s="65">
        <v>0.1</v>
      </c>
      <c r="C15" s="63">
        <f>(B15*15%)+B15</f>
        <v>0.115</v>
      </c>
      <c r="D15" s="80">
        <f>D11*B15</f>
        <v>0</v>
      </c>
      <c r="E15" s="76"/>
      <c r="F15" s="9">
        <f>D15*115/100-D15</f>
        <v>0</v>
      </c>
      <c r="G15" s="67">
        <f>D15+F15</f>
        <v>0</v>
      </c>
    </row>
    <row r="16" spans="1:12" x14ac:dyDescent="0.35">
      <c r="A16" s="13" t="s">
        <v>21</v>
      </c>
      <c r="B16" s="11">
        <v>3.1E-2</v>
      </c>
      <c r="C16" s="11"/>
      <c r="D16" s="80">
        <f>IF(B16&gt;0,(D11*B16+50),0)</f>
        <v>50</v>
      </c>
      <c r="E16" s="76"/>
      <c r="F16" s="9">
        <f>D16*15%</f>
        <v>7.5</v>
      </c>
      <c r="G16" s="24">
        <f>D16+F16</f>
        <v>57.5</v>
      </c>
    </row>
    <row r="17" spans="1:19" x14ac:dyDescent="0.35">
      <c r="A17" s="13" t="s">
        <v>50</v>
      </c>
      <c r="B17" s="69"/>
      <c r="C17" s="9"/>
      <c r="D17" s="80"/>
      <c r="E17" s="76"/>
      <c r="F17" s="24"/>
      <c r="G17" s="70" t="str">
        <f>IF(AND(B15=0,B16=0,B14&gt;0,(D11-G14)&lt;0),G14-D11,"")</f>
        <v/>
      </c>
      <c r="I17" s="4"/>
      <c r="J17" s="2"/>
    </row>
    <row r="18" spans="1:19" ht="10" customHeight="1" x14ac:dyDescent="0.35">
      <c r="F18" s="30"/>
    </row>
    <row r="19" spans="1:19" ht="14.5" customHeight="1" x14ac:dyDescent="0.35">
      <c r="A19" s="81" t="s">
        <v>22</v>
      </c>
      <c r="B19" s="75"/>
      <c r="C19" s="75"/>
      <c r="D19" s="75"/>
      <c r="E19" s="75"/>
      <c r="F19" s="75"/>
      <c r="G19" s="76"/>
    </row>
    <row r="20" spans="1:19" s="1" customFormat="1" x14ac:dyDescent="0.35">
      <c r="A20" s="13" t="s">
        <v>23</v>
      </c>
      <c r="B20" s="11">
        <v>4.4999999999999998E-2</v>
      </c>
      <c r="C20" s="11"/>
      <c r="D20" s="82" t="s">
        <v>24</v>
      </c>
      <c r="E20" s="75"/>
      <c r="F20" s="75"/>
      <c r="G20" s="76"/>
      <c r="J20" s="3"/>
    </row>
    <row r="21" spans="1:19" ht="15" customHeight="1" thickBot="1" x14ac:dyDescent="0.4"/>
    <row r="22" spans="1:19" ht="15" customHeight="1" thickTop="1" x14ac:dyDescent="0.35">
      <c r="A22" s="83" t="s">
        <v>25</v>
      </c>
      <c r="B22" s="76"/>
      <c r="C22" s="32"/>
      <c r="D22" s="33"/>
      <c r="E22" s="34"/>
      <c r="F22" s="84" t="s">
        <v>26</v>
      </c>
      <c r="G22" s="85"/>
    </row>
    <row r="23" spans="1:19" s="39" customFormat="1" ht="15" customHeight="1" thickBot="1" x14ac:dyDescent="0.4">
      <c r="A23" s="35" t="s">
        <v>27</v>
      </c>
      <c r="B23" s="36"/>
      <c r="C23" s="36"/>
      <c r="D23" s="37"/>
      <c r="E23" s="38"/>
      <c r="F23" s="86"/>
      <c r="G23" s="87"/>
    </row>
    <row r="24" spans="1:19" s="39" customFormat="1" ht="15" customHeight="1" thickTop="1" x14ac:dyDescent="0.35">
      <c r="A24" s="40" t="s">
        <v>28</v>
      </c>
      <c r="B24" s="41"/>
      <c r="C24" s="41"/>
      <c r="D24" s="42">
        <f>D11</f>
        <v>0</v>
      </c>
      <c r="E24" s="43"/>
      <c r="F24" s="113" t="s">
        <v>29</v>
      </c>
      <c r="G24" s="116">
        <f>$G$16*10</f>
        <v>575</v>
      </c>
      <c r="O24" s="91" t="s">
        <v>51</v>
      </c>
      <c r="P24" s="75"/>
      <c r="Q24" s="75"/>
      <c r="R24" s="76"/>
      <c r="S24" s="68">
        <f>IF((S23-S22)&lt;0,0,(S23-S22))</f>
        <v>0</v>
      </c>
    </row>
    <row r="25" spans="1:19" s="20" customFormat="1" ht="15.5" customHeight="1" x14ac:dyDescent="0.35">
      <c r="A25" s="44" t="s">
        <v>30</v>
      </c>
      <c r="B25" s="45"/>
      <c r="C25" s="45"/>
      <c r="D25" s="46">
        <f>G15</f>
        <v>0</v>
      </c>
      <c r="E25" s="47"/>
      <c r="F25" s="114"/>
      <c r="G25" s="103"/>
    </row>
    <row r="26" spans="1:19" s="20" customFormat="1" ht="15.5" customHeight="1" x14ac:dyDescent="0.35">
      <c r="A26" s="48" t="s">
        <v>52</v>
      </c>
      <c r="B26" s="49"/>
      <c r="C26" s="49"/>
      <c r="D26" s="46">
        <f>IF($F$11&gt;=12,IF($B$15&gt;=10%,0,$G$16),$G$16)</f>
        <v>57.5</v>
      </c>
      <c r="E26" s="47"/>
      <c r="F26" s="114"/>
      <c r="G26" s="103"/>
    </row>
    <row r="27" spans="1:19" x14ac:dyDescent="0.35">
      <c r="A27" s="48" t="s">
        <v>32</v>
      </c>
      <c r="B27" s="49"/>
      <c r="C27" s="49"/>
      <c r="D27" s="24" t="b">
        <f>IF(D22=1,G14,IF(D22=2,G14/2,IF(D22=3,G14/3)))</f>
        <v>0</v>
      </c>
      <c r="F27" s="115"/>
      <c r="G27" s="104"/>
      <c r="H27" s="50"/>
    </row>
    <row r="28" spans="1:19" x14ac:dyDescent="0.35">
      <c r="A28" s="51" t="s">
        <v>33</v>
      </c>
      <c r="B28" s="52"/>
      <c r="C28" s="52"/>
      <c r="D28" s="53">
        <f>D24-D25-D27-D26</f>
        <v>-57.5</v>
      </c>
      <c r="E28" s="43"/>
      <c r="F28" s="99" t="s">
        <v>34</v>
      </c>
      <c r="G28" s="102">
        <f>$G$16*12</f>
        <v>690</v>
      </c>
      <c r="H28" s="50"/>
    </row>
    <row r="29" spans="1:19" ht="10" customHeight="1" x14ac:dyDescent="0.35">
      <c r="F29" s="100"/>
      <c r="G29" s="103"/>
    </row>
    <row r="30" spans="1:19" x14ac:dyDescent="0.35">
      <c r="A30" s="54" t="s">
        <v>35</v>
      </c>
      <c r="B30" s="54"/>
      <c r="C30" s="54"/>
      <c r="D30" s="54"/>
      <c r="E30" s="38"/>
      <c r="F30" s="100"/>
      <c r="G30" s="103"/>
      <c r="J30" s="2"/>
    </row>
    <row r="31" spans="1:19" s="39" customFormat="1" x14ac:dyDescent="0.35">
      <c r="A31" s="40" t="s">
        <v>36</v>
      </c>
      <c r="B31" s="41"/>
      <c r="C31" s="41"/>
      <c r="D31" s="42">
        <f>D11</f>
        <v>0</v>
      </c>
      <c r="E31" s="43"/>
      <c r="F31" s="101"/>
      <c r="G31" s="104"/>
    </row>
    <row r="32" spans="1:19" x14ac:dyDescent="0.35">
      <c r="A32" s="44" t="s">
        <v>30</v>
      </c>
      <c r="B32" s="45"/>
      <c r="C32" s="45"/>
      <c r="D32" s="24">
        <f>G15</f>
        <v>0</v>
      </c>
      <c r="F32" s="105" t="s">
        <v>37</v>
      </c>
      <c r="G32" s="107">
        <f>IF(B16&gt;0,($D$12*50%),0)</f>
        <v>0</v>
      </c>
    </row>
    <row r="33" spans="1:10" ht="15" customHeight="1" x14ac:dyDescent="0.35">
      <c r="A33" s="48" t="s">
        <v>52</v>
      </c>
      <c r="B33" s="49"/>
      <c r="C33" s="49"/>
      <c r="D33" s="46">
        <f>IF($F$11&gt;=12,IF($B$15&gt;=10%,0,$G$16),$G$16)</f>
        <v>57.5</v>
      </c>
      <c r="E33" s="47"/>
      <c r="F33" s="106"/>
      <c r="G33" s="108"/>
    </row>
    <row r="34" spans="1:10" x14ac:dyDescent="0.35">
      <c r="A34" s="48" t="s">
        <v>38</v>
      </c>
      <c r="B34" s="49"/>
      <c r="C34" s="49"/>
      <c r="D34" s="24" t="b">
        <f>IF(D22=1,IF(D28&lt;0,ABS(D28),G14-D27),
   IF(D22=2,G14/2,IF(D22=3,G14/3)))</f>
        <v>0</v>
      </c>
      <c r="F34" s="106"/>
      <c r="G34" s="108"/>
    </row>
    <row r="35" spans="1:10" x14ac:dyDescent="0.35">
      <c r="A35" s="51" t="s">
        <v>33</v>
      </c>
      <c r="B35" s="52"/>
      <c r="C35" s="52"/>
      <c r="D35" s="53">
        <f>D31-D32-D34-D33</f>
        <v>-57.5</v>
      </c>
      <c r="E35" s="43"/>
      <c r="F35" s="106"/>
      <c r="G35" s="108"/>
    </row>
    <row r="36" spans="1:10" ht="10" customHeight="1" x14ac:dyDescent="0.35">
      <c r="A36" s="55"/>
      <c r="B36" s="55"/>
      <c r="C36" s="55"/>
      <c r="D36" s="56"/>
      <c r="E36" s="56"/>
      <c r="F36" s="109" t="s">
        <v>39</v>
      </c>
      <c r="G36" s="111">
        <f>IF(B16&gt;0,($D$12*5),0)</f>
        <v>0</v>
      </c>
    </row>
    <row r="37" spans="1:10" x14ac:dyDescent="0.35">
      <c r="A37" s="54" t="s">
        <v>40</v>
      </c>
      <c r="B37" s="54"/>
      <c r="C37" s="54"/>
      <c r="D37" s="54"/>
      <c r="E37" s="38"/>
      <c r="F37" s="106"/>
      <c r="G37" s="108"/>
    </row>
    <row r="38" spans="1:10" x14ac:dyDescent="0.35">
      <c r="A38" s="40" t="s">
        <v>41</v>
      </c>
      <c r="B38" s="41"/>
      <c r="C38" s="41"/>
      <c r="D38" s="42">
        <f>D11</f>
        <v>0</v>
      </c>
      <c r="E38" s="43"/>
      <c r="F38" s="106"/>
      <c r="G38" s="108"/>
    </row>
    <row r="39" spans="1:10" ht="15" customHeight="1" thickBot="1" x14ac:dyDescent="0.4">
      <c r="A39" s="44" t="s">
        <v>30</v>
      </c>
      <c r="B39" s="45"/>
      <c r="C39" s="45"/>
      <c r="D39" s="24">
        <f>G15</f>
        <v>0</v>
      </c>
      <c r="F39" s="110"/>
      <c r="G39" s="112"/>
    </row>
    <row r="40" spans="1:10" ht="15" customHeight="1" thickTop="1" x14ac:dyDescent="0.35">
      <c r="A40" s="48" t="s">
        <v>42</v>
      </c>
      <c r="B40" s="49"/>
      <c r="C40" s="49"/>
      <c r="D40" s="46">
        <f>G16</f>
        <v>57.5</v>
      </c>
      <c r="E40" s="47"/>
      <c r="F40" s="4"/>
    </row>
    <row r="41" spans="1:10" x14ac:dyDescent="0.35">
      <c r="A41" s="48" t="s">
        <v>38</v>
      </c>
      <c r="B41" s="49"/>
      <c r="C41" s="49"/>
      <c r="D41" s="24" t="b">
        <f>IF(D22=1,0,IF(D22=2,0,IF(D22=3,G14/3)))</f>
        <v>0</v>
      </c>
      <c r="F41" s="4"/>
    </row>
    <row r="42" spans="1:10" x14ac:dyDescent="0.35">
      <c r="A42" s="51" t="s">
        <v>33</v>
      </c>
      <c r="B42" s="52"/>
      <c r="C42" s="52"/>
      <c r="D42" s="53">
        <f>D38-D39-D41-D40</f>
        <v>-57.5</v>
      </c>
      <c r="E42" s="43"/>
      <c r="F42" s="4"/>
    </row>
    <row r="43" spans="1:10" x14ac:dyDescent="0.35">
      <c r="A43" s="55"/>
      <c r="B43" s="55"/>
      <c r="C43" s="55"/>
      <c r="D43" s="55"/>
      <c r="E43" s="55"/>
      <c r="F43" s="55"/>
      <c r="G43" s="43"/>
      <c r="J43" s="2"/>
    </row>
    <row r="44" spans="1:10" ht="40.5" customHeight="1" x14ac:dyDescent="0.35">
      <c r="A44" s="92" t="s">
        <v>43</v>
      </c>
      <c r="B44" s="93"/>
      <c r="C44" s="93"/>
      <c r="D44" s="94"/>
      <c r="E44" s="94"/>
      <c r="F44" s="95"/>
      <c r="G44" s="94"/>
      <c r="J44" s="2"/>
    </row>
    <row r="45" spans="1:10" ht="36" customHeight="1" x14ac:dyDescent="0.35">
      <c r="A45" s="57"/>
      <c r="D45" s="96"/>
      <c r="E45" s="97"/>
      <c r="F45" s="56"/>
      <c r="G45" s="58"/>
    </row>
    <row r="46" spans="1:10" s="61" customFormat="1" ht="15.5" customHeight="1" x14ac:dyDescent="0.35">
      <c r="A46" s="55" t="s">
        <v>44</v>
      </c>
      <c r="B46" s="59"/>
      <c r="C46" s="59"/>
      <c r="D46" s="55" t="s">
        <v>45</v>
      </c>
      <c r="E46" s="55"/>
      <c r="F46" s="55"/>
      <c r="G46" s="60" t="s">
        <v>46</v>
      </c>
    </row>
    <row r="47" spans="1:10" x14ac:dyDescent="0.35">
      <c r="A47" s="98"/>
      <c r="B47" s="75"/>
      <c r="C47" s="75"/>
      <c r="D47" s="75"/>
      <c r="E47" s="75"/>
      <c r="F47" s="75"/>
      <c r="G47" s="76"/>
    </row>
  </sheetData>
  <mergeCells count="30">
    <mergeCell ref="O24:R24"/>
    <mergeCell ref="D17:E17"/>
    <mergeCell ref="A44:G44"/>
    <mergeCell ref="D45:E45"/>
    <mergeCell ref="A47:G47"/>
    <mergeCell ref="F28:F31"/>
    <mergeCell ref="G28:G31"/>
    <mergeCell ref="F32:F35"/>
    <mergeCell ref="G32:G35"/>
    <mergeCell ref="F36:F39"/>
    <mergeCell ref="G36:G39"/>
    <mergeCell ref="F24:F27"/>
    <mergeCell ref="G24:G27"/>
    <mergeCell ref="D10:E10"/>
    <mergeCell ref="D11:E11"/>
    <mergeCell ref="D12:E12"/>
    <mergeCell ref="D14:E14"/>
    <mergeCell ref="B8:G8"/>
    <mergeCell ref="D15:E15"/>
    <mergeCell ref="D16:E16"/>
    <mergeCell ref="A19:G19"/>
    <mergeCell ref="D20:G20"/>
    <mergeCell ref="A22:B22"/>
    <mergeCell ref="F22:G23"/>
    <mergeCell ref="B7:G7"/>
    <mergeCell ref="A1:G1"/>
    <mergeCell ref="A2:G2"/>
    <mergeCell ref="B4:G4"/>
    <mergeCell ref="B5:G5"/>
    <mergeCell ref="B6:G6"/>
  </mergeCells>
  <conditionalFormatting sqref="D26">
    <cfRule type="cellIs" dxfId="1" priority="2" operator="lessThanOrEqual">
      <formula>0</formula>
    </cfRule>
  </conditionalFormatting>
  <conditionalFormatting sqref="D33">
    <cfRule type="cellIs" dxfId="0" priority="1" operator="lessThanOrEqual">
      <formula>0</formula>
    </cfRule>
  </conditionalFormatting>
  <printOptions horizontalCentered="1"/>
  <pageMargins left="0.23622047244094491" right="0.23622047244094491" top="0.55118110236220474" bottom="0.55118110236220474" header="0.31496062992125978" footer="0.31496062992125978"/>
  <pageSetup scale="95"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2"/>
  <sheetViews>
    <sheetView topLeftCell="A2" workbookViewId="0">
      <selection activeCell="D16" sqref="D16"/>
    </sheetView>
  </sheetViews>
  <sheetFormatPr defaultRowHeight="14.5" x14ac:dyDescent="0.35"/>
  <cols>
    <col min="2" max="2" width="3.26953125" customWidth="1"/>
  </cols>
  <sheetData>
    <row r="1" spans="1:4" x14ac:dyDescent="0.35">
      <c r="A1" t="s">
        <v>53</v>
      </c>
    </row>
    <row r="2" spans="1:4" x14ac:dyDescent="0.35">
      <c r="A2">
        <v>1</v>
      </c>
      <c r="C2" t="s">
        <v>54</v>
      </c>
      <c r="D2">
        <v>31</v>
      </c>
    </row>
    <row r="3" spans="1:4" x14ac:dyDescent="0.35">
      <c r="A3">
        <v>2</v>
      </c>
      <c r="C3" t="s">
        <v>55</v>
      </c>
      <c r="D3">
        <v>29</v>
      </c>
    </row>
    <row r="4" spans="1:4" x14ac:dyDescent="0.35">
      <c r="A4">
        <v>3</v>
      </c>
      <c r="C4" t="s">
        <v>56</v>
      </c>
      <c r="D4">
        <v>31</v>
      </c>
    </row>
    <row r="5" spans="1:4" x14ac:dyDescent="0.35">
      <c r="A5">
        <v>4</v>
      </c>
      <c r="C5" t="s">
        <v>57</v>
      </c>
      <c r="D5">
        <v>30</v>
      </c>
    </row>
    <row r="6" spans="1:4" x14ac:dyDescent="0.35">
      <c r="A6">
        <v>5</v>
      </c>
      <c r="C6" t="s">
        <v>58</v>
      </c>
      <c r="D6">
        <v>31</v>
      </c>
    </row>
    <row r="7" spans="1:4" x14ac:dyDescent="0.35">
      <c r="A7">
        <v>6</v>
      </c>
      <c r="C7" t="s">
        <v>8</v>
      </c>
      <c r="D7">
        <v>30</v>
      </c>
    </row>
    <row r="8" spans="1:4" x14ac:dyDescent="0.35">
      <c r="A8">
        <v>7</v>
      </c>
      <c r="C8" t="s">
        <v>59</v>
      </c>
      <c r="D8">
        <v>31</v>
      </c>
    </row>
    <row r="9" spans="1:4" x14ac:dyDescent="0.35">
      <c r="A9">
        <v>8</v>
      </c>
      <c r="C9" t="s">
        <v>60</v>
      </c>
      <c r="D9">
        <v>31</v>
      </c>
    </row>
    <row r="10" spans="1:4" x14ac:dyDescent="0.35">
      <c r="A10">
        <v>9</v>
      </c>
      <c r="C10" t="s">
        <v>61</v>
      </c>
      <c r="D10">
        <v>30</v>
      </c>
    </row>
    <row r="11" spans="1:4" x14ac:dyDescent="0.35">
      <c r="A11">
        <v>10</v>
      </c>
      <c r="C11" t="s">
        <v>62</v>
      </c>
      <c r="D11">
        <v>31</v>
      </c>
    </row>
    <row r="12" spans="1:4" x14ac:dyDescent="0.35">
      <c r="A12">
        <v>11</v>
      </c>
      <c r="C12" t="s">
        <v>63</v>
      </c>
      <c r="D12">
        <v>30</v>
      </c>
    </row>
    <row r="13" spans="1:4" x14ac:dyDescent="0.35">
      <c r="A13">
        <v>12</v>
      </c>
      <c r="C13" t="s">
        <v>48</v>
      </c>
      <c r="D13">
        <v>31</v>
      </c>
    </row>
    <row r="14" spans="1:4" x14ac:dyDescent="0.35">
      <c r="A14">
        <v>13</v>
      </c>
    </row>
    <row r="15" spans="1:4" x14ac:dyDescent="0.35">
      <c r="A15">
        <v>14</v>
      </c>
      <c r="C15" t="s">
        <v>64</v>
      </c>
      <c r="D15" s="66">
        <v>3.1E-2</v>
      </c>
    </row>
    <row r="16" spans="1:4" x14ac:dyDescent="0.35">
      <c r="A16">
        <v>15</v>
      </c>
      <c r="C16" t="s">
        <v>65</v>
      </c>
      <c r="D16">
        <v>0</v>
      </c>
    </row>
    <row r="17" spans="1:4" x14ac:dyDescent="0.35">
      <c r="A17">
        <v>16</v>
      </c>
      <c r="C17" t="s">
        <v>66</v>
      </c>
      <c r="D17" t="s">
        <v>67</v>
      </c>
    </row>
    <row r="18" spans="1:4" x14ac:dyDescent="0.35">
      <c r="A18">
        <v>17</v>
      </c>
    </row>
    <row r="19" spans="1:4" x14ac:dyDescent="0.35">
      <c r="A19">
        <v>18</v>
      </c>
    </row>
    <row r="20" spans="1:4" x14ac:dyDescent="0.35">
      <c r="A20">
        <v>19</v>
      </c>
    </row>
    <row r="21" spans="1:4" x14ac:dyDescent="0.35">
      <c r="A21">
        <v>20</v>
      </c>
    </row>
    <row r="22" spans="1:4" x14ac:dyDescent="0.35">
      <c r="A22">
        <v>21</v>
      </c>
    </row>
    <row r="23" spans="1:4" x14ac:dyDescent="0.35">
      <c r="A23">
        <v>22</v>
      </c>
    </row>
    <row r="24" spans="1:4" x14ac:dyDescent="0.35">
      <c r="A24">
        <v>23</v>
      </c>
    </row>
    <row r="25" spans="1:4" x14ac:dyDescent="0.35">
      <c r="A25">
        <v>24</v>
      </c>
    </row>
    <row r="26" spans="1:4" x14ac:dyDescent="0.35">
      <c r="A26">
        <v>25</v>
      </c>
    </row>
    <row r="27" spans="1:4" x14ac:dyDescent="0.35">
      <c r="A27">
        <v>26</v>
      </c>
    </row>
    <row r="28" spans="1:4" x14ac:dyDescent="0.35">
      <c r="A28">
        <v>27</v>
      </c>
    </row>
    <row r="29" spans="1:4" x14ac:dyDescent="0.35">
      <c r="A29">
        <v>28</v>
      </c>
    </row>
    <row r="30" spans="1:4" x14ac:dyDescent="0.35">
      <c r="A30">
        <v>29</v>
      </c>
    </row>
    <row r="31" spans="1:4" x14ac:dyDescent="0.35">
      <c r="A31">
        <v>30</v>
      </c>
    </row>
    <row r="32" spans="1:4" x14ac:dyDescent="0.35">
      <c r="A32">
        <v>31</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 PLA &amp; Man % OP</vt:lpstr>
      <vt:lpstr>Template</vt:lpstr>
      <vt:lpstr>Options</vt:lpstr>
      <vt:lpstr>'!! PLA &amp; Man % OP'!Print_Area</vt:lpstr>
      <vt:lpstr>Template!Print_Area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Angelique Schutte</dc:creator>
  <cp:lastModifiedBy>Janus De Jonge</cp:lastModifiedBy>
  <cp:lastPrinted>2025-11-14T14:02:01Z</cp:lastPrinted>
  <dcterms:created xsi:type="dcterms:W3CDTF">2022-11-13T16:18:57Z</dcterms:created>
  <dcterms:modified xsi:type="dcterms:W3CDTF">2026-03-24T15:08:31Z</dcterms:modified>
</cp:coreProperties>
</file>