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Janus\Downloads\"/>
    </mc:Choice>
  </mc:AlternateContent>
  <xr:revisionPtr revIDLastSave="0" documentId="13_ncr:1_{FEF2CAF8-E84D-4C7D-9A1F-C3F8719472AC}" xr6:coauthVersionLast="47" xr6:coauthVersionMax="47" xr10:uidLastSave="{00000000-0000-0000-0000-000000000000}"/>
  <bookViews>
    <workbookView xWindow="-110" yWindow="-110" windowWidth="19420" windowHeight="11500" tabRatio="951" firstSheet="1" activeTab="1" xr2:uid="{00000000-000D-0000-FFFF-FFFF00000000}"/>
  </bookViews>
  <sheets>
    <sheet name="!! PLA &amp; Man % OP" sheetId="1" state="hidden" r:id="rId1"/>
    <sheet name="Template" sheetId="2" r:id="rId2"/>
    <sheet name="Options" sheetId="3" state="hidden" r:id="rId3"/>
  </sheets>
  <definedNames>
    <definedName name="_xlnm.Print_Area" localSheetId="0">'!! PLA &amp; Man % OP'!$A$1:$G$48</definedName>
    <definedName name="_xlnm.Print_Area" localSheetId="1">Template!$A$1:$G$47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7" i="2" l="1"/>
  <c r="D34" i="2"/>
  <c r="G17" i="2"/>
  <c r="D41" i="2"/>
  <c r="G36" i="2"/>
  <c r="G32" i="2"/>
  <c r="S24" i="2"/>
  <c r="C15" i="2"/>
  <c r="C14" i="2"/>
  <c r="D11" i="2"/>
  <c r="D40" i="1"/>
  <c r="G35" i="1"/>
  <c r="D32" i="1"/>
  <c r="G31" i="1"/>
  <c r="D25" i="1"/>
  <c r="C15" i="1"/>
  <c r="C14" i="1"/>
  <c r="D11" i="1"/>
  <c r="D15" i="1" s="1"/>
  <c r="G11" i="2" l="1"/>
  <c r="D14" i="2" s="1"/>
  <c r="F14" i="2" s="1"/>
  <c r="G14" i="2" s="1"/>
  <c r="F15" i="1"/>
  <c r="G15" i="1" s="1"/>
  <c r="D16" i="2"/>
  <c r="D30" i="1"/>
  <c r="D37" i="1"/>
  <c r="D23" i="1"/>
  <c r="D38" i="2"/>
  <c r="G11" i="1"/>
  <c r="D14" i="1" s="1"/>
  <c r="D24" i="2"/>
  <c r="D31" i="2"/>
  <c r="D16" i="1"/>
  <c r="D15" i="2"/>
  <c r="D24" i="1" l="1"/>
  <c r="D31" i="1"/>
  <c r="D38" i="1"/>
  <c r="F15" i="2"/>
  <c r="G15" i="2" s="1"/>
  <c r="F16" i="1"/>
  <c r="G16" i="1"/>
  <c r="F16" i="2"/>
  <c r="G16" i="2" s="1"/>
  <c r="F14" i="1"/>
  <c r="G14" i="1" s="1"/>
  <c r="D33" i="2" l="1"/>
  <c r="D26" i="2"/>
  <c r="D25" i="2"/>
  <c r="D32" i="2"/>
  <c r="D39" i="2"/>
  <c r="D33" i="1"/>
  <c r="D34" i="1" s="1"/>
  <c r="D26" i="1"/>
  <c r="D27" i="1" s="1"/>
  <c r="D40" i="2"/>
  <c r="G24" i="2"/>
  <c r="G28" i="2"/>
  <c r="G23" i="1"/>
  <c r="D39" i="1"/>
  <c r="D41" i="1" s="1"/>
  <c r="G27" i="1"/>
  <c r="D28" i="2" l="1"/>
  <c r="D42" i="2"/>
  <c r="D35"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D15" authorId="0" shapeId="0" xr:uid="{00000000-0006-0000-0200-000001000000}">
      <text>
        <r>
          <rPr>
            <sz val="11"/>
            <color theme="1"/>
            <rFont val="Calibri"/>
            <family val="2"/>
            <scheme val="minor"/>
          </rPr>
          <t xml:space="preserve">Dell:
</t>
        </r>
      </text>
    </comment>
  </commentList>
</comments>
</file>

<file path=xl/sharedStrings.xml><?xml version="1.0" encoding="utf-8"?>
<sst xmlns="http://schemas.openxmlformats.org/spreadsheetml/2006/main" count="122" uniqueCount="68">
  <si>
    <t>RESIDENTIAL CALCULATION</t>
  </si>
  <si>
    <t>PLACEMENT &amp; MANAGEMENT %   -   RENT IN OWNER'S POCKET</t>
  </si>
  <si>
    <t>UNIT NUMBER</t>
  </si>
  <si>
    <t>COMPLEX NAME</t>
  </si>
  <si>
    <t>PROPERTY ADDRESS</t>
  </si>
  <si>
    <t>DATE</t>
  </si>
  <si>
    <t>OCCUPATION DATE</t>
  </si>
  <si>
    <t>DAY</t>
  </si>
  <si>
    <t>June</t>
  </si>
  <si>
    <t>MONTH</t>
  </si>
  <si>
    <t>PLACEMENT AND MANAGEMENT FEES</t>
  </si>
  <si>
    <t>EXCL VAT</t>
  </si>
  <si>
    <t>MONTHLY</t>
  </si>
  <si>
    <t>TERM</t>
  </si>
  <si>
    <t>CONTRACT
VALUE</t>
  </si>
  <si>
    <t>Marketing Amount</t>
  </si>
  <si>
    <t>Amount in Owner's pocket</t>
  </si>
  <si>
    <t>FEES</t>
  </si>
  <si>
    <t>VAT</t>
  </si>
  <si>
    <t>Placement Fee (New Tenant)</t>
  </si>
  <si>
    <t>Monthly Manangement Fee</t>
  </si>
  <si>
    <t>Rental &amp; Eviction Protection (3.1% + R50 admin)</t>
  </si>
  <si>
    <t>LEASE RENEWAL FEE</t>
  </si>
  <si>
    <t>Renewal commission fee</t>
  </si>
  <si>
    <t>OF CONTRACT RENEWAL VALUE</t>
  </si>
  <si>
    <t>Placement Payment Term</t>
  </si>
  <si>
    <t>RENTAL &amp; EVICTION PROTECTION</t>
  </si>
  <si>
    <t>RENT IN OWNERS POCKET FIRST MONTH</t>
  </si>
  <si>
    <t>1st Month Rental</t>
  </si>
  <si>
    <t>Total premiums (10 months if Diamond Package selected - 12m term only)</t>
  </si>
  <si>
    <t>Monthly Management Fee</t>
  </si>
  <si>
    <t>Rental &amp; Eviction Protection - Paid by RE/MAX on Diamond</t>
  </si>
  <si>
    <t>Placement Fee</t>
  </si>
  <si>
    <t>Owners Pocket</t>
  </si>
  <si>
    <t>Total premiums (12 months if Platinum Package selected)</t>
  </si>
  <si>
    <t>RENT IN OWNERS POCKET SECOND MONTH</t>
  </si>
  <si>
    <t>2nd Months Rental</t>
  </si>
  <si>
    <t>1st month protection (50%) for absondment or default</t>
  </si>
  <si>
    <t>Placement Fee Left</t>
  </si>
  <si>
    <t>Plus 5 months 100% protection.  While eviction is in process.</t>
  </si>
  <si>
    <t>RENT IN OWNERS POCKET THIRD MONTH</t>
  </si>
  <si>
    <t>3rd Months Rental</t>
  </si>
  <si>
    <t>Rental &amp; Eviction Protection (3.5% + R50 admin)</t>
  </si>
  <si>
    <t>The owner's in-pocket amount is payable exclusively if we do not cover any municipal or body corporate accounts on your behalf. It's crucial to highlight that in cases where we handle property tax and levies on your behalf, these expenses will be deducted from the rent you receive.</t>
  </si>
  <si>
    <t>Name and Surname</t>
  </si>
  <si>
    <t>Signature</t>
  </si>
  <si>
    <t>Date Accepted</t>
  </si>
  <si>
    <t>PLACEMENT &amp; MANAGEMENT FIXED   -   RENT IN OWNER'S POCKET</t>
  </si>
  <si>
    <t>December</t>
  </si>
  <si>
    <t>Placement Fee (New Tenant) / Or Once-Off Procurement Fee</t>
  </si>
  <si>
    <t>If Procurement Only Shortfall to be paid to RE/MAX</t>
  </si>
  <si>
    <t>Balance to be Paid to RE/MAX  (IF CREDIT IT WILL BE PAID TO THE OWNER)</t>
  </si>
  <si>
    <t>Rental &amp; Eviction Protection - Paid by RE/MAX if Diamond</t>
  </si>
  <si>
    <t>Months</t>
  </si>
  <si>
    <t>January</t>
  </si>
  <si>
    <t>February</t>
  </si>
  <si>
    <t>March</t>
  </si>
  <si>
    <t>April</t>
  </si>
  <si>
    <t>May</t>
  </si>
  <si>
    <t>July</t>
  </si>
  <si>
    <t>August</t>
  </si>
  <si>
    <t>September</t>
  </si>
  <si>
    <t>October</t>
  </si>
  <si>
    <t>November</t>
  </si>
  <si>
    <t>Tenrisk</t>
  </si>
  <si>
    <t>No Tenrisk</t>
  </si>
  <si>
    <t>Not option</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</si>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</sst>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R&quot;* #,##0.00_-;\-&quot;R&quot;* #,##0.00_-;_-&quot;R&quot;* &quot;-&quot;??_-;_-@_-"/>
    <numFmt numFmtId="43" formatCode="_-* #,##0.00_-;\-* #,##0.00_-;_-* &quot;-&quot;??_-;_-@_-"/>
    <numFmt numFmtId="164" formatCode="_(* #,##0.00_);_(* \(#,##0.00\);_(* &quot;-&quot;??_);_(@_)"/>
    <numFmt numFmtId="165" formatCode="[$-409]d\-mmm\-yy;@"/>
    <numFmt numFmtId="166" formatCode="0.0%"/>
  </numFmts>
  <fonts count="11"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b/>
      <sz val="12"/>
      <color theme="0"/>
      <name val="Calibri"/>
      <family val="2"/>
      <scheme val="minor"/>
    </font>
    <font>
      <sz val="12"/>
      <color theme="1"/>
      <name val="Calibri"/>
      <family val="2"/>
      <scheme val="minor"/>
    </font>
    <font>
      <b/>
      <sz val="12"/>
      <color theme="1"/>
      <name val="Calibri"/>
      <family val="2"/>
      <scheme val="minor"/>
    </font>
    <font>
      <b/>
      <sz val="10"/>
      <color theme="1"/>
      <name val="Calibri"/>
      <family val="2"/>
      <scheme val="minor"/>
    </font>
    <font>
      <sz val="10"/>
      <color theme="1"/>
      <name val="Calibri"/>
      <family val="2"/>
      <scheme val="minor"/>
    </font>
    <font>
      <b/>
      <sz val="14"/>
      <color theme="0"/>
      <name val="Calibri"/>
      <family val="2"/>
      <scheme val="minor"/>
    </font>
    <font>
      <b/>
      <sz val="9"/>
      <color theme="1"/>
      <name val="Calibri"/>
      <family val="2"/>
      <scheme val="minor"/>
    </font>
  </fonts>
  <fills count="12">
    <fill>
      <patternFill patternType="none"/>
    </fill>
    <fill>
      <patternFill patternType="gray125"/>
    </fill>
    <fill>
      <patternFill patternType="solid">
        <fgColor rgb="FFB22B2E"/>
        <bgColor indexed="64"/>
      </patternFill>
    </fill>
    <fill>
      <patternFill patternType="solid">
        <fgColor rgb="FF1A3668"/>
        <bgColor indexed="64"/>
      </patternFill>
    </fill>
    <fill>
      <patternFill patternType="solid">
        <fgColor theme="0" tint="-0.499984740745262"/>
        <bgColor indexed="64"/>
      </patternFill>
    </fill>
    <fill>
      <patternFill patternType="solid">
        <fgColor theme="8" tint="0.59999389629810485"/>
        <bgColor indexed="64"/>
      </patternFill>
    </fill>
    <fill>
      <patternFill patternType="solid">
        <fgColor theme="0" tint="-0.14999847407452621"/>
        <bgColor indexed="64"/>
      </patternFill>
    </fill>
    <fill>
      <patternFill patternType="solid">
        <fgColor theme="8" tint="0.39997558519241921"/>
        <bgColor indexed="64"/>
      </patternFill>
    </fill>
    <fill>
      <patternFill patternType="solid">
        <fgColor rgb="FFC00000"/>
        <bgColor indexed="64"/>
      </patternFill>
    </fill>
    <fill>
      <patternFill patternType="solid">
        <fgColor theme="3" tint="0.79998168889431442"/>
        <bgColor indexed="64"/>
      </patternFill>
    </fill>
    <fill>
      <patternFill patternType="solid">
        <fgColor rgb="FFFFFFCC"/>
        <bgColor indexed="64"/>
      </patternFill>
    </fill>
    <fill>
      <patternFill patternType="solid">
        <fgColor theme="0"/>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style="double">
        <color rgb="FF1A3668"/>
      </left>
      <right style="thin">
        <color indexed="64"/>
      </right>
      <top style="double">
        <color rgb="FF1A3668"/>
      </top>
      <bottom style="thin">
        <color indexed="64"/>
      </bottom>
      <diagonal/>
    </border>
    <border>
      <left/>
      <right style="double">
        <color rgb="FF1A3668"/>
      </right>
      <top style="thin">
        <color indexed="64"/>
      </top>
      <bottom/>
      <diagonal/>
    </border>
    <border>
      <left/>
      <right style="double">
        <color rgb="FF1A3668"/>
      </right>
      <top/>
      <bottom/>
      <diagonal/>
    </border>
    <border>
      <left/>
      <right style="double">
        <color rgb="FF1A3668"/>
      </right>
      <top/>
      <bottom style="double">
        <color rgb="FF1A3668"/>
      </bottom>
      <diagonal/>
    </border>
    <border>
      <left style="double">
        <color rgb="FF1A3668"/>
      </left>
      <right style="thin">
        <color rgb="FF1A3668"/>
      </right>
      <top style="thin">
        <color indexed="64"/>
      </top>
      <bottom/>
      <diagonal/>
    </border>
    <border>
      <left style="double">
        <color rgb="FF1A3668"/>
      </left>
      <right style="thin">
        <color rgb="FF1A3668"/>
      </right>
      <top/>
      <bottom/>
      <diagonal/>
    </border>
    <border>
      <left style="double">
        <color rgb="FF1A3668"/>
      </left>
      <right style="thin">
        <color rgb="FF1A3668"/>
      </right>
      <top/>
      <bottom style="double">
        <color rgb="FF1A3668"/>
      </bottom>
      <diagonal/>
    </border>
    <border>
      <left/>
      <right style="double">
        <color indexed="64"/>
      </right>
      <top style="thin">
        <color indexed="64"/>
      </top>
      <bottom/>
      <diagonal/>
    </border>
    <border>
      <left/>
      <right style="double">
        <color indexed="64"/>
      </right>
      <top/>
      <bottom/>
      <diagonal/>
    </border>
    <border>
      <left/>
      <right style="double">
        <color indexed="64"/>
      </right>
      <top/>
      <bottom style="thin">
        <color indexed="64"/>
      </bottom>
      <diagonal/>
    </border>
    <border>
      <left style="double">
        <color indexed="64"/>
      </left>
      <right style="thin">
        <color indexed="64"/>
      </right>
      <top/>
      <bottom/>
      <diagonal/>
    </border>
    <border>
      <left style="double">
        <color indexed="64"/>
      </left>
      <right style="thin">
        <color indexed="64"/>
      </right>
      <top/>
      <bottom style="thin">
        <color indexed="64"/>
      </bottom>
      <diagonal/>
    </border>
    <border>
      <left style="double">
        <color indexed="64"/>
      </left>
      <right style="thin">
        <color rgb="FF1A3668"/>
      </right>
      <top style="thin">
        <color indexed="64"/>
      </top>
      <bottom/>
      <diagonal/>
    </border>
    <border>
      <left style="double">
        <color indexed="64"/>
      </left>
      <right style="thin">
        <color rgb="FF1A3668"/>
      </right>
      <top/>
      <bottom/>
      <diagonal/>
    </border>
    <border>
      <left style="double">
        <color indexed="64"/>
      </left>
      <right style="thin">
        <color rgb="FF1A3668"/>
      </right>
      <top/>
      <bottom style="double">
        <color rgb="FF1A3668"/>
      </bottom>
      <diagonal/>
    </border>
    <border>
      <left/>
      <right style="double">
        <color indexed="64"/>
      </right>
      <top/>
      <bottom style="double">
        <color rgb="FF1A3668"/>
      </bottom>
      <diagonal/>
    </border>
    <border>
      <left style="double">
        <color rgb="FF1A3668"/>
      </left>
      <right style="thin">
        <color indexed="64"/>
      </right>
      <top/>
      <bottom/>
      <diagonal/>
    </border>
    <border>
      <left style="double">
        <color rgb="FF1A3668"/>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rgb="FF1A3668"/>
      </right>
      <top style="thin">
        <color indexed="64"/>
      </top>
      <bottom style="double">
        <color rgb="FF1A3668"/>
      </bottom>
      <diagonal/>
    </border>
    <border>
      <left/>
      <right style="double">
        <color indexed="64"/>
      </right>
      <top style="thin">
        <color indexed="64"/>
      </top>
      <bottom style="double">
        <color rgb="FF1A3668"/>
      </bottom>
      <diagonal/>
    </border>
    <border>
      <left/>
      <right style="thin">
        <color indexed="64"/>
      </right>
      <top style="double">
        <color rgb="FF1A3668"/>
      </top>
      <bottom/>
      <diagonal/>
    </border>
    <border>
      <left style="double">
        <color rgb="FF1A3668"/>
      </left>
      <right/>
      <top/>
      <bottom style="thin">
        <color indexed="64"/>
      </bottom>
      <diagonal/>
    </border>
    <border>
      <left/>
      <right style="thin">
        <color indexed="64"/>
      </right>
      <top/>
      <bottom style="thin">
        <color indexed="64"/>
      </bottom>
      <diagonal/>
    </border>
    <border>
      <left style="double">
        <color indexed="64"/>
      </left>
      <right style="thin">
        <color indexed="64"/>
      </right>
      <top style="double">
        <color indexed="64"/>
      </top>
      <bottom style="thin">
        <color indexed="64"/>
      </bottom>
      <diagonal/>
    </border>
    <border>
      <left/>
      <right style="double">
        <color indexed="64"/>
      </right>
      <top style="double">
        <color indexed="64"/>
      </top>
      <bottom style="thin">
        <color indexed="64"/>
      </bottom>
      <diagonal/>
    </border>
    <border>
      <left style="double">
        <color rgb="FF1A3668"/>
      </left>
      <right style="thin">
        <color rgb="FF1A3668"/>
      </right>
      <top style="thin">
        <color indexed="64"/>
      </top>
      <bottom style="double">
        <color rgb="FF1A3668"/>
      </bottom>
      <diagonal/>
    </border>
    <border>
      <left/>
      <right style="double">
        <color rgb="FF1A3668"/>
      </right>
      <top style="thin">
        <color indexed="64"/>
      </top>
      <bottom style="double">
        <color rgb="FF1A3668"/>
      </bottom>
      <diagonal/>
    </border>
    <border>
      <left style="double">
        <color rgb="FF1A3668"/>
      </left>
      <right style="thin">
        <color indexed="64"/>
      </right>
      <top style="double">
        <color indexed="64"/>
      </top>
      <bottom style="thin">
        <color indexed="64"/>
      </bottom>
      <diagonal/>
    </border>
  </borders>
  <cellStyleXfs count="2">
    <xf numFmtId="0" fontId="0" fillId="0" borderId="0"/>
    <xf numFmtId="9" fontId="1" fillId="0" borderId="0"/>
  </cellStyleXfs>
  <cellXfs count="127">
    <xf numFmtId="0" fontId="0" fillId="0" borderId="0" xfId="0"/>
    <xf numFmtId="0" fontId="0" fillId="0" borderId="0" xfId="0" applyAlignment="1">
      <alignment horizontal="left" vertical="center"/>
    </xf>
    <xf numFmtId="0" fontId="0" fillId="0" borderId="0" xfId="0" applyAlignment="1">
      <alignment vertical="center"/>
    </xf>
    <xf numFmtId="44" fontId="0" fillId="0" borderId="0" xfId="0" applyNumberFormat="1" applyAlignment="1">
      <alignment horizontal="left" vertical="center"/>
    </xf>
    <xf numFmtId="44" fontId="0" fillId="0" borderId="0" xfId="0" applyNumberFormat="1" applyAlignment="1">
      <alignment vertical="center"/>
    </xf>
    <xf numFmtId="0" fontId="2" fillId="2" borderId="1" xfId="0" applyFont="1" applyFill="1" applyBorder="1" applyAlignment="1">
      <alignment horizontal="left" vertical="center" wrapText="1"/>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44" fontId="8" fillId="0" borderId="1" xfId="0" applyNumberFormat="1" applyFont="1" applyBorder="1" applyAlignment="1">
      <alignment horizontal="center" vertical="center"/>
    </xf>
    <xf numFmtId="0" fontId="8" fillId="0" borderId="1" xfId="0" applyFont="1" applyBorder="1" applyAlignment="1">
      <alignment horizontal="left" vertical="center"/>
    </xf>
    <xf numFmtId="10" fontId="8" fillId="5" borderId="1" xfId="1" applyNumberFormat="1" applyFont="1" applyFill="1" applyBorder="1" applyAlignment="1" applyProtection="1">
      <alignment horizontal="center" vertical="center"/>
      <protection locked="0"/>
    </xf>
    <xf numFmtId="44" fontId="8" fillId="0" borderId="1" xfId="0" applyNumberFormat="1" applyFont="1" applyBorder="1" applyAlignment="1">
      <alignment horizontal="left" vertical="center"/>
    </xf>
    <xf numFmtId="0" fontId="8" fillId="0" borderId="1" xfId="0" applyFont="1" applyBorder="1" applyAlignment="1">
      <alignment vertical="center"/>
    </xf>
    <xf numFmtId="0" fontId="3" fillId="0" borderId="1" xfId="0" applyFont="1" applyBorder="1" applyAlignment="1">
      <alignment vertical="center"/>
    </xf>
    <xf numFmtId="0" fontId="0" fillId="5" borderId="1" xfId="0" applyFill="1" applyBorder="1" applyAlignment="1" applyProtection="1">
      <alignment horizontal="center" vertical="center"/>
      <protection locked="0"/>
    </xf>
    <xf numFmtId="0" fontId="5" fillId="0" borderId="0" xfId="0" applyFont="1" applyAlignment="1">
      <alignment vertical="center"/>
    </xf>
    <xf numFmtId="44" fontId="5" fillId="0" borderId="0" xfId="0" applyNumberFormat="1" applyFont="1" applyAlignment="1">
      <alignment vertical="center"/>
    </xf>
    <xf numFmtId="165" fontId="0" fillId="5" borderId="1" xfId="0" applyNumberFormat="1" applyFill="1" applyBorder="1" applyAlignment="1" applyProtection="1">
      <alignment horizontal="center" vertical="center"/>
      <protection locked="0"/>
    </xf>
    <xf numFmtId="165" fontId="0" fillId="0" borderId="1" xfId="0" applyNumberFormat="1" applyBorder="1" applyAlignment="1">
      <alignment horizontal="center" vertical="center"/>
    </xf>
    <xf numFmtId="0" fontId="5" fillId="0" borderId="0" xfId="0" applyFont="1" applyAlignment="1">
      <alignment vertical="center" wrapText="1"/>
    </xf>
    <xf numFmtId="44" fontId="5" fillId="0" borderId="0" xfId="0" applyNumberFormat="1" applyFont="1" applyAlignment="1">
      <alignment vertical="center" wrapText="1"/>
    </xf>
    <xf numFmtId="166" fontId="8" fillId="0" borderId="1" xfId="1" applyNumberFormat="1" applyFont="1" applyBorder="1" applyAlignment="1">
      <alignment horizontal="center" vertical="center"/>
    </xf>
    <xf numFmtId="1" fontId="8" fillId="5" borderId="1" xfId="0" applyNumberFormat="1" applyFont="1" applyFill="1" applyBorder="1" applyAlignment="1" applyProtection="1">
      <alignment horizontal="center" vertical="center"/>
      <protection locked="0"/>
    </xf>
    <xf numFmtId="44" fontId="8" fillId="0" borderId="1" xfId="0" applyNumberFormat="1" applyFont="1" applyBorder="1" applyAlignment="1">
      <alignment vertical="center"/>
    </xf>
    <xf numFmtId="0" fontId="2" fillId="4" borderId="2" xfId="0" applyFont="1" applyFill="1" applyBorder="1" applyAlignment="1">
      <alignment vertical="center" wrapText="1"/>
    </xf>
    <xf numFmtId="0" fontId="2" fillId="4" borderId="4" xfId="0" applyFont="1" applyFill="1" applyBorder="1" applyAlignment="1">
      <alignment vertical="center"/>
    </xf>
    <xf numFmtId="0" fontId="2" fillId="4" borderId="4" xfId="0" applyFont="1" applyFill="1" applyBorder="1" applyAlignment="1">
      <alignment horizontal="center" vertical="center"/>
    </xf>
    <xf numFmtId="0" fontId="2" fillId="4" borderId="3" xfId="0" applyFont="1" applyFill="1" applyBorder="1" applyAlignment="1">
      <alignment vertical="center"/>
    </xf>
    <xf numFmtId="166" fontId="0" fillId="0" borderId="0" xfId="1" applyNumberFormat="1" applyFont="1" applyAlignment="1">
      <alignment horizontal="center" vertical="center"/>
    </xf>
    <xf numFmtId="44" fontId="0" fillId="0" borderId="0" xfId="0" applyNumberFormat="1" applyAlignment="1">
      <alignment horizontal="center" vertical="center"/>
    </xf>
    <xf numFmtId="1" fontId="3" fillId="0" borderId="0" xfId="0" applyNumberFormat="1" applyFont="1" applyAlignment="1">
      <alignment horizontal="center" vertical="center"/>
    </xf>
    <xf numFmtId="166" fontId="0" fillId="0" borderId="2" xfId="1" applyNumberFormat="1" applyFont="1" applyBorder="1" applyAlignment="1">
      <alignment vertical="center"/>
    </xf>
    <xf numFmtId="0" fontId="0" fillId="7" borderId="1" xfId="0" applyFill="1" applyBorder="1" applyAlignment="1" applyProtection="1">
      <alignment horizontal="center" vertical="center"/>
      <protection locked="0"/>
    </xf>
    <xf numFmtId="0" fontId="0" fillId="0" borderId="0" xfId="0" applyAlignment="1" applyProtection="1">
      <alignment horizontal="center" vertical="center"/>
      <protection locked="0"/>
    </xf>
    <xf numFmtId="0" fontId="2" fillId="3" borderId="2" xfId="0" applyFont="1" applyFill="1" applyBorder="1" applyAlignment="1">
      <alignment vertical="center"/>
    </xf>
    <xf numFmtId="0" fontId="2" fillId="3" borderId="4" xfId="0" applyFont="1" applyFill="1" applyBorder="1" applyAlignment="1">
      <alignment vertical="center"/>
    </xf>
    <xf numFmtId="0" fontId="2" fillId="3" borderId="3" xfId="0" applyFont="1" applyFill="1" applyBorder="1" applyAlignment="1">
      <alignment vertical="center"/>
    </xf>
    <xf numFmtId="0" fontId="2" fillId="0" borderId="0" xfId="0" applyFont="1" applyAlignment="1">
      <alignment vertical="center"/>
    </xf>
    <xf numFmtId="0" fontId="3" fillId="0" borderId="0" xfId="0" applyFont="1" applyAlignment="1">
      <alignment vertical="center"/>
    </xf>
    <xf numFmtId="0" fontId="7" fillId="0" borderId="2" xfId="0" applyFont="1" applyBorder="1" applyAlignment="1">
      <alignment vertical="center"/>
    </xf>
    <xf numFmtId="0" fontId="7" fillId="0" borderId="4" xfId="0" applyFont="1" applyBorder="1" applyAlignment="1">
      <alignment vertical="center"/>
    </xf>
    <xf numFmtId="44" fontId="7" fillId="0" borderId="1" xfId="0" applyNumberFormat="1" applyFont="1" applyBorder="1" applyAlignment="1">
      <alignment vertical="center"/>
    </xf>
    <xf numFmtId="44" fontId="3" fillId="0" borderId="0" xfId="0" applyNumberFormat="1" applyFont="1" applyAlignment="1">
      <alignment vertical="center"/>
    </xf>
    <xf numFmtId="0" fontId="8" fillId="0" borderId="2" xfId="0" applyFont="1" applyBorder="1" applyAlignment="1">
      <alignment vertical="center" wrapText="1"/>
    </xf>
    <xf numFmtId="0" fontId="8" fillId="0" borderId="4" xfId="0" applyFont="1" applyBorder="1" applyAlignment="1">
      <alignment vertical="center" wrapText="1"/>
    </xf>
    <xf numFmtId="44" fontId="8" fillId="0" borderId="1" xfId="0" applyNumberFormat="1" applyFont="1" applyBorder="1" applyAlignment="1">
      <alignment vertical="center" wrapText="1"/>
    </xf>
    <xf numFmtId="44" fontId="0" fillId="0" borderId="0" xfId="0" applyNumberFormat="1" applyAlignment="1">
      <alignment vertical="center" wrapText="1"/>
    </xf>
    <xf numFmtId="0" fontId="8" fillId="0" borderId="2" xfId="0" applyFont="1" applyBorder="1" applyAlignment="1">
      <alignment vertical="center"/>
    </xf>
    <xf numFmtId="0" fontId="8" fillId="0" borderId="4" xfId="0" applyFont="1" applyBorder="1" applyAlignment="1">
      <alignment vertical="center"/>
    </xf>
    <xf numFmtId="43" fontId="0" fillId="0" borderId="0" xfId="0" applyNumberFormat="1" applyAlignment="1">
      <alignment vertical="center"/>
    </xf>
    <xf numFmtId="0" fontId="7" fillId="6" borderId="2" xfId="0" applyFont="1" applyFill="1" applyBorder="1" applyAlignment="1">
      <alignment vertical="center"/>
    </xf>
    <xf numFmtId="0" fontId="7" fillId="6" borderId="4" xfId="0" applyFont="1" applyFill="1" applyBorder="1" applyAlignment="1">
      <alignment vertical="center"/>
    </xf>
    <xf numFmtId="44" fontId="7" fillId="6" borderId="1" xfId="0" applyNumberFormat="1" applyFont="1" applyFill="1" applyBorder="1" applyAlignment="1">
      <alignment vertical="center"/>
    </xf>
    <xf numFmtId="0" fontId="2" fillId="3" borderId="1" xfId="0" applyFont="1" applyFill="1" applyBorder="1" applyAlignment="1">
      <alignment vertical="center"/>
    </xf>
    <xf numFmtId="0" fontId="3" fillId="0" borderId="0" xfId="0" applyFont="1" applyAlignment="1">
      <alignment horizontal="left" vertical="center"/>
    </xf>
    <xf numFmtId="44" fontId="3" fillId="0" borderId="0" xfId="0" applyNumberFormat="1" applyFont="1" applyAlignment="1">
      <alignment horizontal="center" vertical="center"/>
    </xf>
    <xf numFmtId="0" fontId="0" fillId="0" borderId="5" xfId="0" applyBorder="1" applyAlignment="1">
      <alignment vertical="center"/>
    </xf>
    <xf numFmtId="44" fontId="0" fillId="0" borderId="5" xfId="0" applyNumberFormat="1" applyBorder="1" applyAlignment="1">
      <alignment vertical="center"/>
    </xf>
    <xf numFmtId="0" fontId="3" fillId="0" borderId="0" xfId="1" applyNumberFormat="1" applyFont="1" applyAlignment="1">
      <alignment horizontal="left" vertical="center"/>
    </xf>
    <xf numFmtId="0" fontId="3" fillId="0" borderId="0" xfId="0" applyFont="1" applyAlignment="1">
      <alignment horizontal="right" vertical="center"/>
    </xf>
    <xf numFmtId="0" fontId="6" fillId="0" borderId="0" xfId="0" applyFont="1" applyAlignment="1">
      <alignment horizontal="left" vertical="center"/>
    </xf>
    <xf numFmtId="166" fontId="8" fillId="0" borderId="2" xfId="1" applyNumberFormat="1" applyFont="1" applyBorder="1" applyAlignment="1">
      <alignment horizontal="center" vertical="center"/>
    </xf>
    <xf numFmtId="10" fontId="8" fillId="5" borderId="2" xfId="1" applyNumberFormat="1" applyFont="1" applyFill="1" applyBorder="1" applyAlignment="1" applyProtection="1">
      <alignment horizontal="center" vertical="center"/>
      <protection locked="0"/>
    </xf>
    <xf numFmtId="43" fontId="0" fillId="0" borderId="0" xfId="0" applyNumberFormat="1" applyAlignment="1">
      <alignment horizontal="left" vertical="center"/>
    </xf>
    <xf numFmtId="10" fontId="8" fillId="0" borderId="1" xfId="1" applyNumberFormat="1" applyFont="1" applyBorder="1" applyAlignment="1">
      <alignment horizontal="center" vertical="center"/>
    </xf>
    <xf numFmtId="10" fontId="0" fillId="0" borderId="0" xfId="0" applyNumberFormat="1"/>
    <xf numFmtId="44" fontId="8" fillId="5" borderId="1" xfId="0" applyNumberFormat="1" applyFont="1" applyFill="1" applyBorder="1" applyAlignment="1" applyProtection="1">
      <alignment horizontal="left" vertical="center"/>
      <protection locked="0"/>
    </xf>
    <xf numFmtId="44" fontId="3" fillId="6" borderId="1" xfId="0" applyNumberFormat="1" applyFont="1" applyFill="1" applyBorder="1"/>
    <xf numFmtId="10" fontId="8" fillId="11" borderId="1" xfId="1" applyNumberFormat="1" applyFont="1" applyFill="1" applyBorder="1" applyAlignment="1" applyProtection="1">
      <alignment horizontal="center" vertical="center"/>
      <protection locked="0"/>
    </xf>
    <xf numFmtId="164" fontId="0" fillId="0" borderId="1" xfId="0" applyNumberFormat="1" applyBorder="1" applyAlignment="1">
      <alignment vertical="center"/>
    </xf>
    <xf numFmtId="165" fontId="0" fillId="5" borderId="1" xfId="0" applyNumberFormat="1" applyFill="1" applyBorder="1" applyAlignment="1" applyProtection="1">
      <alignment horizontal="center" vertical="center"/>
      <protection locked="0"/>
    </xf>
    <xf numFmtId="0" fontId="0" fillId="0" borderId="4" xfId="0" applyBorder="1" applyProtection="1">
      <protection locked="0"/>
    </xf>
    <xf numFmtId="0" fontId="0" fillId="0" borderId="3" xfId="0" applyBorder="1" applyProtection="1">
      <protection locked="0"/>
    </xf>
    <xf numFmtId="0" fontId="9" fillId="3" borderId="1" xfId="0" applyFont="1" applyFill="1" applyBorder="1" applyAlignment="1">
      <alignment horizontal="center" vertical="center"/>
    </xf>
    <xf numFmtId="0" fontId="0" fillId="0" borderId="4" xfId="0" applyBorder="1"/>
    <xf numFmtId="0" fontId="0" fillId="0" borderId="3" xfId="0" applyBorder="1"/>
    <xf numFmtId="0" fontId="4" fillId="3" borderId="6" xfId="0" applyFont="1" applyFill="1" applyBorder="1" applyAlignment="1">
      <alignment horizontal="center" vertical="center"/>
    </xf>
    <xf numFmtId="0" fontId="0" fillId="0" borderId="6" xfId="0" applyBorder="1"/>
    <xf numFmtId="0" fontId="0" fillId="5" borderId="1" xfId="0" applyFill="1" applyBorder="1" applyAlignment="1" applyProtection="1">
      <alignment horizontal="center" vertical="center"/>
      <protection locked="0"/>
    </xf>
    <xf numFmtId="44" fontId="8" fillId="0" borderId="1" xfId="0" applyNumberFormat="1" applyFont="1" applyBorder="1" applyAlignment="1">
      <alignment horizontal="center" vertical="center"/>
    </xf>
    <xf numFmtId="0" fontId="2" fillId="4" borderId="1" xfId="0" applyFont="1" applyFill="1" applyBorder="1" applyAlignment="1">
      <alignment horizontal="left" vertical="center" wrapText="1"/>
    </xf>
    <xf numFmtId="1" fontId="8" fillId="0" borderId="1" xfId="0" applyNumberFormat="1" applyFont="1" applyBorder="1" applyAlignment="1">
      <alignment horizontal="left" vertical="center" indent="1"/>
    </xf>
    <xf numFmtId="0" fontId="0" fillId="0" borderId="1" xfId="0" applyBorder="1" applyAlignment="1">
      <alignment horizontal="center" vertical="center"/>
    </xf>
    <xf numFmtId="44" fontId="2" fillId="8" borderId="7" xfId="0" applyNumberFormat="1" applyFont="1" applyFill="1" applyBorder="1" applyAlignment="1">
      <alignment horizontal="center" vertical="center" wrapText="1"/>
    </xf>
    <xf numFmtId="0" fontId="0" fillId="0" borderId="29" xfId="0" applyBorder="1"/>
    <xf numFmtId="0" fontId="0" fillId="0" borderId="30" xfId="0" applyBorder="1"/>
    <xf numFmtId="0" fontId="0" fillId="0" borderId="31" xfId="0" applyBorder="1"/>
    <xf numFmtId="0" fontId="2" fillId="2" borderId="1" xfId="0" applyFont="1" applyFill="1" applyBorder="1" applyAlignment="1">
      <alignment horizontal="center" vertical="center" wrapText="1"/>
    </xf>
    <xf numFmtId="44" fontId="8" fillId="5" borderId="1" xfId="0" applyNumberFormat="1" applyFont="1" applyFill="1" applyBorder="1" applyAlignment="1" applyProtection="1">
      <alignment horizontal="center" vertical="center"/>
      <protection locked="0"/>
    </xf>
    <xf numFmtId="0" fontId="0" fillId="5" borderId="2" xfId="0" applyFill="1" applyBorder="1" applyAlignment="1" applyProtection="1">
      <alignment horizontal="center" vertical="center"/>
      <protection locked="0"/>
    </xf>
    <xf numFmtId="0" fontId="3" fillId="6" borderId="1" xfId="0" applyFont="1" applyFill="1" applyBorder="1" applyAlignment="1">
      <alignment horizontal="left"/>
    </xf>
    <xf numFmtId="0" fontId="8" fillId="0" borderId="0" xfId="0" applyFont="1" applyAlignment="1">
      <alignment horizontal="left" vertical="center" wrapText="1"/>
    </xf>
    <xf numFmtId="166" fontId="0" fillId="0" borderId="0" xfId="1" applyNumberFormat="1" applyFont="1" applyAlignment="1">
      <alignment horizontal="center" vertical="center"/>
    </xf>
    <xf numFmtId="44" fontId="0" fillId="0" borderId="0" xfId="0" applyNumberFormat="1" applyAlignment="1">
      <alignment vertical="center"/>
    </xf>
    <xf numFmtId="1" fontId="3" fillId="0" borderId="0" xfId="0" applyNumberFormat="1" applyFont="1" applyAlignment="1">
      <alignment horizontal="center" vertical="center"/>
    </xf>
    <xf numFmtId="0" fontId="0" fillId="0" borderId="5" xfId="0" applyBorder="1" applyAlignment="1">
      <alignment horizontal="center" vertical="center"/>
    </xf>
    <xf numFmtId="0" fontId="0" fillId="0" borderId="5" xfId="0" applyBorder="1"/>
    <xf numFmtId="0" fontId="0" fillId="3" borderId="1" xfId="0" applyFill="1" applyBorder="1" applyAlignment="1">
      <alignment horizontal="center" vertical="center"/>
    </xf>
    <xf numFmtId="0" fontId="10" fillId="0" borderId="25" xfId="0" applyFont="1" applyBorder="1" applyAlignment="1">
      <alignment horizontal="center" vertical="center" wrapText="1"/>
    </xf>
    <xf numFmtId="0" fontId="0" fillId="0" borderId="17" xfId="0" applyBorder="1"/>
    <xf numFmtId="0" fontId="0" fillId="0" borderId="18" xfId="0" applyBorder="1"/>
    <xf numFmtId="44" fontId="10" fillId="0" borderId="26" xfId="0" applyNumberFormat="1" applyFont="1" applyBorder="1" applyAlignment="1">
      <alignment horizontal="center" vertical="center"/>
    </xf>
    <xf numFmtId="0" fontId="0" fillId="0" borderId="15" xfId="0" applyBorder="1"/>
    <xf numFmtId="0" fontId="0" fillId="0" borderId="16" xfId="0" applyBorder="1"/>
    <xf numFmtId="0" fontId="10" fillId="9" borderId="11" xfId="0" applyFont="1" applyFill="1" applyBorder="1" applyAlignment="1">
      <alignment horizontal="center" vertical="center" wrapText="1"/>
    </xf>
    <xf numFmtId="0" fontId="0" fillId="0" borderId="12" xfId="0" applyBorder="1"/>
    <xf numFmtId="44" fontId="10" fillId="9" borderId="8" xfId="0" applyNumberFormat="1" applyFont="1" applyFill="1" applyBorder="1" applyAlignment="1">
      <alignment horizontal="center" vertical="center"/>
    </xf>
    <xf numFmtId="0" fontId="0" fillId="0" borderId="9" xfId="0" applyBorder="1"/>
    <xf numFmtId="0" fontId="10" fillId="9" borderId="34" xfId="0" applyFont="1" applyFill="1" applyBorder="1" applyAlignment="1">
      <alignment horizontal="center" vertical="center" wrapText="1"/>
    </xf>
    <xf numFmtId="0" fontId="0" fillId="0" borderId="13" xfId="0" applyBorder="1"/>
    <xf numFmtId="44" fontId="10" fillId="9" borderId="35" xfId="0" applyNumberFormat="1" applyFont="1" applyFill="1" applyBorder="1" applyAlignment="1">
      <alignment horizontal="center" vertical="center"/>
    </xf>
    <xf numFmtId="0" fontId="0" fillId="0" borderId="10" xfId="0" applyBorder="1"/>
    <xf numFmtId="0" fontId="10" fillId="10" borderId="36" xfId="0" applyFont="1" applyFill="1" applyBorder="1" applyAlignment="1">
      <alignment horizontal="center" vertical="center" wrapText="1"/>
    </xf>
    <xf numFmtId="0" fontId="0" fillId="0" borderId="23" xfId="0" applyBorder="1"/>
    <xf numFmtId="0" fontId="0" fillId="0" borderId="24" xfId="0" applyBorder="1"/>
    <xf numFmtId="44" fontId="10" fillId="10" borderId="26" xfId="0" applyNumberFormat="1" applyFont="1" applyFill="1" applyBorder="1" applyAlignment="1">
      <alignment horizontal="center" vertical="center"/>
    </xf>
    <xf numFmtId="165" fontId="0" fillId="0" borderId="1" xfId="0" applyNumberFormat="1" applyBorder="1" applyAlignment="1">
      <alignment horizontal="center" vertical="center"/>
    </xf>
    <xf numFmtId="0" fontId="10" fillId="9" borderId="19" xfId="0" applyFont="1" applyFill="1" applyBorder="1" applyAlignment="1">
      <alignment horizontal="center" vertical="center" wrapText="1"/>
    </xf>
    <xf numFmtId="0" fontId="0" fillId="0" borderId="20" xfId="0" applyBorder="1"/>
    <xf numFmtId="44" fontId="10" fillId="9" borderId="14" xfId="0" applyNumberFormat="1" applyFont="1" applyFill="1" applyBorder="1" applyAlignment="1">
      <alignment horizontal="center" vertical="center"/>
    </xf>
    <xf numFmtId="0" fontId="10" fillId="9" borderId="27" xfId="0" applyFont="1" applyFill="1" applyBorder="1" applyAlignment="1">
      <alignment horizontal="center" vertical="center" wrapText="1"/>
    </xf>
    <xf numFmtId="0" fontId="0" fillId="0" borderId="21" xfId="0" applyBorder="1"/>
    <xf numFmtId="44" fontId="10" fillId="9" borderId="28" xfId="0" applyNumberFormat="1" applyFont="1" applyFill="1" applyBorder="1" applyAlignment="1">
      <alignment horizontal="center" vertical="center"/>
    </xf>
    <xf numFmtId="0" fontId="0" fillId="0" borderId="22" xfId="0" applyBorder="1"/>
    <xf numFmtId="0" fontId="10" fillId="10" borderId="32" xfId="0" applyFont="1" applyFill="1" applyBorder="1" applyAlignment="1">
      <alignment horizontal="center" vertical="center" wrapText="1"/>
    </xf>
    <xf numFmtId="44" fontId="10" fillId="10" borderId="33" xfId="0" applyNumberFormat="1" applyFont="1" applyFill="1" applyBorder="1" applyAlignment="1">
      <alignment horizontal="center" vertical="center"/>
    </xf>
  </cellXfs>
  <cellStyles count="2">
    <cellStyle name="Normal" xfId="0" builtinId="0"/>
    <cellStyle name="Percent" xfId="1" builtinId="5"/>
  </cellStyles>
  <dxfs count="4">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
      <fill>
        <patternFill patternType="solid">
          <bgColor theme="1" tint="0.49998474074526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pageSetUpPr fitToPage="1"/>
  </sheetPr>
  <dimension ref="A1:L48"/>
  <sheetViews>
    <sheetView zoomScaleNormal="100" workbookViewId="0">
      <pane ySplit="2" topLeftCell="A3" activePane="bottomLeft" state="frozen"/>
      <selection activeCell="D8" sqref="D8:E8"/>
      <selection pane="bottomLeft" activeCell="D8" sqref="D8:E8"/>
    </sheetView>
  </sheetViews>
  <sheetFormatPr defaultColWidth="9.1796875" defaultRowHeight="14.5" x14ac:dyDescent="0.35"/>
  <cols>
    <col min="1" max="1" width="41.7265625" style="2" customWidth="1"/>
    <col min="2" max="2" width="8.7265625" style="29" bestFit="1" customWidth="1"/>
    <col min="3" max="3" width="8.7265625" style="29" hidden="1" customWidth="1"/>
    <col min="4" max="4" width="14.26953125" style="4" customWidth="1"/>
    <col min="5" max="5" width="3.1796875" style="4" customWidth="1"/>
    <col min="6" max="6" width="15.26953125" style="31" customWidth="1"/>
    <col min="7" max="7" width="14.26953125" style="4" customWidth="1"/>
    <col min="8" max="8" width="9.54296875" style="2" bestFit="1" customWidth="1"/>
    <col min="9" max="9" width="10.54296875" style="2" bestFit="1" customWidth="1"/>
    <col min="10" max="10" width="13.7265625" style="4" bestFit="1" customWidth="1"/>
    <col min="11" max="11" width="9.1796875" style="2" customWidth="1"/>
    <col min="12" max="12" width="11.26953125" style="2" bestFit="1" customWidth="1"/>
    <col min="13" max="13" width="9.1796875" style="2" customWidth="1"/>
    <col min="14" max="16384" width="9.1796875" style="2"/>
  </cols>
  <sheetData>
    <row r="1" spans="1:12" ht="18.5" customHeight="1" x14ac:dyDescent="0.35">
      <c r="A1" s="74" t="s">
        <v>0</v>
      </c>
      <c r="B1" s="75"/>
      <c r="C1" s="75"/>
      <c r="D1" s="75"/>
      <c r="E1" s="75"/>
      <c r="F1" s="75"/>
      <c r="G1" s="76"/>
    </row>
    <row r="2" spans="1:12" ht="15.5" customHeight="1" x14ac:dyDescent="0.35">
      <c r="A2" s="77" t="s">
        <v>1</v>
      </c>
      <c r="B2" s="78"/>
      <c r="C2" s="78"/>
      <c r="D2" s="78"/>
      <c r="E2" s="78"/>
      <c r="F2" s="78"/>
      <c r="G2" s="78"/>
    </row>
    <row r="4" spans="1:12" s="16" customFormat="1" ht="15.5" customHeight="1" x14ac:dyDescent="0.35">
      <c r="A4" s="14" t="s">
        <v>2</v>
      </c>
      <c r="B4" s="79"/>
      <c r="C4" s="72"/>
      <c r="D4" s="72"/>
      <c r="E4" s="72"/>
      <c r="F4" s="72"/>
      <c r="G4" s="73"/>
      <c r="J4" s="17"/>
    </row>
    <row r="5" spans="1:12" s="16" customFormat="1" ht="15.5" customHeight="1" x14ac:dyDescent="0.35">
      <c r="A5" s="14" t="s">
        <v>3</v>
      </c>
      <c r="B5" s="79"/>
      <c r="C5" s="72"/>
      <c r="D5" s="72"/>
      <c r="E5" s="72"/>
      <c r="F5" s="72"/>
      <c r="G5" s="73"/>
      <c r="J5" s="17"/>
      <c r="L5" s="17"/>
    </row>
    <row r="6" spans="1:12" s="16" customFormat="1" ht="15.5" customHeight="1" x14ac:dyDescent="0.35">
      <c r="A6" s="14" t="s">
        <v>4</v>
      </c>
      <c r="B6" s="79"/>
      <c r="C6" s="72"/>
      <c r="D6" s="72"/>
      <c r="E6" s="72"/>
      <c r="F6" s="72"/>
      <c r="G6" s="73"/>
      <c r="J6" s="17"/>
    </row>
    <row r="7" spans="1:12" s="16" customFormat="1" ht="15.5" customHeight="1" x14ac:dyDescent="0.35">
      <c r="A7" s="14" t="s">
        <v>5</v>
      </c>
      <c r="B7" s="71"/>
      <c r="C7" s="72"/>
      <c r="D7" s="72"/>
      <c r="E7" s="72"/>
      <c r="F7" s="72"/>
      <c r="G7" s="73"/>
      <c r="J7" s="17"/>
    </row>
    <row r="8" spans="1:12" s="16" customFormat="1" ht="15.5" customHeight="1" x14ac:dyDescent="0.35">
      <c r="A8" s="14" t="s">
        <v>6</v>
      </c>
      <c r="B8" s="15">
        <v>1</v>
      </c>
      <c r="C8" s="15"/>
      <c r="D8" s="117" t="s">
        <v>7</v>
      </c>
      <c r="E8" s="76"/>
      <c r="F8" s="18" t="s">
        <v>8</v>
      </c>
      <c r="G8" s="19" t="s">
        <v>9</v>
      </c>
      <c r="J8" s="17"/>
    </row>
    <row r="10" spans="1:12" s="20" customFormat="1" ht="30" customHeight="1" x14ac:dyDescent="0.35">
      <c r="A10" s="5" t="s">
        <v>10</v>
      </c>
      <c r="B10" s="6" t="s">
        <v>11</v>
      </c>
      <c r="C10" s="7"/>
      <c r="D10" s="88" t="s">
        <v>12</v>
      </c>
      <c r="E10" s="76"/>
      <c r="F10" s="8" t="s">
        <v>13</v>
      </c>
      <c r="G10" s="6" t="s">
        <v>14</v>
      </c>
      <c r="J10" s="21"/>
    </row>
    <row r="11" spans="1:12" x14ac:dyDescent="0.35">
      <c r="A11" s="13" t="s">
        <v>15</v>
      </c>
      <c r="B11" s="22"/>
      <c r="C11" s="62"/>
      <c r="D11" s="80">
        <f>ROUNDUP(D12/(100%-C15),-1)</f>
        <v>11300</v>
      </c>
      <c r="E11" s="76"/>
      <c r="F11" s="23">
        <v>12</v>
      </c>
      <c r="G11" s="24">
        <f>D11*F11</f>
        <v>135600</v>
      </c>
    </row>
    <row r="12" spans="1:12" x14ac:dyDescent="0.35">
      <c r="A12" s="13" t="s">
        <v>16</v>
      </c>
      <c r="B12" s="22"/>
      <c r="C12" s="62"/>
      <c r="D12" s="89">
        <v>10000</v>
      </c>
      <c r="E12" s="73"/>
      <c r="F12" s="9"/>
      <c r="G12" s="24"/>
    </row>
    <row r="13" spans="1:12" ht="14.5" customHeight="1" x14ac:dyDescent="0.35">
      <c r="A13" s="25" t="s">
        <v>17</v>
      </c>
      <c r="B13" s="26"/>
      <c r="C13" s="26"/>
      <c r="D13" s="26"/>
      <c r="E13" s="26"/>
      <c r="F13" s="27" t="s">
        <v>18</v>
      </c>
      <c r="G13" s="28"/>
    </row>
    <row r="14" spans="1:12" s="1" customFormat="1" x14ac:dyDescent="0.35">
      <c r="A14" s="10" t="s">
        <v>19</v>
      </c>
      <c r="B14" s="11">
        <v>7.0999999999999994E-2</v>
      </c>
      <c r="C14" s="63">
        <f>(B14*15%)+B14</f>
        <v>8.1649999999999986E-2</v>
      </c>
      <c r="D14" s="80">
        <f>$B14*$G$11</f>
        <v>9627.5999999999985</v>
      </c>
      <c r="E14" s="76"/>
      <c r="F14" s="9">
        <f>D14*15%</f>
        <v>1444.1399999999996</v>
      </c>
      <c r="G14" s="12">
        <f>D14+F14</f>
        <v>11071.739999999998</v>
      </c>
      <c r="I14" s="64"/>
      <c r="J14" s="3"/>
    </row>
    <row r="15" spans="1:12" x14ac:dyDescent="0.35">
      <c r="A15" s="13" t="s">
        <v>20</v>
      </c>
      <c r="B15" s="11">
        <v>0.1</v>
      </c>
      <c r="C15" s="63">
        <f>(B15*15%)+B15</f>
        <v>0.115</v>
      </c>
      <c r="D15" s="80">
        <f>D11*B15</f>
        <v>1130</v>
      </c>
      <c r="E15" s="76"/>
      <c r="F15" s="9">
        <f>D15*15%</f>
        <v>169.5</v>
      </c>
      <c r="G15" s="24">
        <f>D15+F15</f>
        <v>1299.5</v>
      </c>
    </row>
    <row r="16" spans="1:12" x14ac:dyDescent="0.35">
      <c r="A16" s="13" t="s">
        <v>21</v>
      </c>
      <c r="B16" s="11">
        <v>3.1E-2</v>
      </c>
      <c r="C16" s="63"/>
      <c r="D16" s="80">
        <f>IF(B16&gt;0,(D11*B16+50),0)</f>
        <v>400.3</v>
      </c>
      <c r="E16" s="76"/>
      <c r="F16" s="9">
        <f>D16*15%</f>
        <v>60.045000000000002</v>
      </c>
      <c r="G16" s="24">
        <f>D16+F16</f>
        <v>460.34500000000003</v>
      </c>
    </row>
    <row r="17" spans="1:10" ht="10" customHeight="1" x14ac:dyDescent="0.35">
      <c r="F17" s="30"/>
    </row>
    <row r="18" spans="1:10" ht="14.5" customHeight="1" x14ac:dyDescent="0.35">
      <c r="A18" s="81" t="s">
        <v>22</v>
      </c>
      <c r="B18" s="75"/>
      <c r="C18" s="75"/>
      <c r="D18" s="75"/>
      <c r="E18" s="75"/>
      <c r="F18" s="75"/>
      <c r="G18" s="76"/>
    </row>
    <row r="19" spans="1:10" s="1" customFormat="1" x14ac:dyDescent="0.35">
      <c r="A19" s="13" t="s">
        <v>23</v>
      </c>
      <c r="B19" s="11">
        <v>4.4999999999999998E-2</v>
      </c>
      <c r="C19" s="11"/>
      <c r="D19" s="82" t="s">
        <v>24</v>
      </c>
      <c r="E19" s="75"/>
      <c r="F19" s="75"/>
      <c r="G19" s="76"/>
      <c r="J19" s="3"/>
    </row>
    <row r="20" spans="1:10" ht="15" customHeight="1" thickBot="1" x14ac:dyDescent="0.4"/>
    <row r="21" spans="1:10" ht="15" customHeight="1" thickTop="1" x14ac:dyDescent="0.35">
      <c r="A21" s="83" t="s">
        <v>25</v>
      </c>
      <c r="B21" s="76"/>
      <c r="C21" s="32"/>
      <c r="D21" s="33">
        <v>1</v>
      </c>
      <c r="E21" s="34"/>
      <c r="F21" s="84" t="s">
        <v>26</v>
      </c>
      <c r="G21" s="85"/>
    </row>
    <row r="22" spans="1:10" s="39" customFormat="1" ht="15" customHeight="1" thickBot="1" x14ac:dyDescent="0.4">
      <c r="A22" s="35" t="s">
        <v>27</v>
      </c>
      <c r="B22" s="36"/>
      <c r="C22" s="36"/>
      <c r="D22" s="37"/>
      <c r="E22" s="38"/>
      <c r="F22" s="86"/>
      <c r="G22" s="87"/>
    </row>
    <row r="23" spans="1:10" s="39" customFormat="1" ht="15" customHeight="1" thickTop="1" x14ac:dyDescent="0.35">
      <c r="A23" s="40" t="s">
        <v>28</v>
      </c>
      <c r="B23" s="41"/>
      <c r="C23" s="41"/>
      <c r="D23" s="42">
        <f>D11</f>
        <v>11300</v>
      </c>
      <c r="E23" s="43"/>
      <c r="F23" s="125" t="s">
        <v>29</v>
      </c>
      <c r="G23" s="126">
        <f>$G$16*10</f>
        <v>4603.4500000000007</v>
      </c>
    </row>
    <row r="24" spans="1:10" s="20" customFormat="1" ht="15.5" customHeight="1" x14ac:dyDescent="0.35">
      <c r="A24" s="44" t="s">
        <v>30</v>
      </c>
      <c r="B24" s="45"/>
      <c r="C24" s="45"/>
      <c r="D24" s="46">
        <f>G15</f>
        <v>1299.5</v>
      </c>
      <c r="E24" s="47"/>
      <c r="F24" s="100"/>
      <c r="G24" s="103"/>
    </row>
    <row r="25" spans="1:10" s="20" customFormat="1" ht="15.5" customHeight="1" x14ac:dyDescent="0.35">
      <c r="A25" s="48" t="s">
        <v>31</v>
      </c>
      <c r="B25" s="49"/>
      <c r="C25" s="49"/>
      <c r="D25" s="46">
        <f>IF(AND($F$11=12,$B$14&gt;=7%,$B$15&gt;=10%),0,$G$16)</f>
        <v>0</v>
      </c>
      <c r="E25" s="47"/>
      <c r="F25" s="100"/>
      <c r="G25" s="103"/>
    </row>
    <row r="26" spans="1:10" x14ac:dyDescent="0.35">
      <c r="A26" s="48" t="s">
        <v>32</v>
      </c>
      <c r="B26" s="49"/>
      <c r="C26" s="49"/>
      <c r="D26" s="24">
        <f>IF(D21=1,(IF(D23-D24&lt;G14,D23-D24,G14)),IF(D21=2,G14/2,IF(D21=3,G14/3)))</f>
        <v>10000.5</v>
      </c>
      <c r="F26" s="101"/>
      <c r="G26" s="104"/>
      <c r="H26" s="50"/>
    </row>
    <row r="27" spans="1:10" x14ac:dyDescent="0.35">
      <c r="A27" s="51" t="s">
        <v>33</v>
      </c>
      <c r="B27" s="52"/>
      <c r="C27" s="52"/>
      <c r="D27" s="53">
        <f>D23-D24-D26-D25</f>
        <v>0</v>
      </c>
      <c r="E27" s="43"/>
      <c r="F27" s="99" t="s">
        <v>34</v>
      </c>
      <c r="G27" s="102">
        <f>$G$16*12</f>
        <v>5524.14</v>
      </c>
      <c r="H27" s="50"/>
    </row>
    <row r="28" spans="1:10" ht="10" customHeight="1" x14ac:dyDescent="0.35">
      <c r="F28" s="100"/>
      <c r="G28" s="103"/>
    </row>
    <row r="29" spans="1:10" x14ac:dyDescent="0.35">
      <c r="A29" s="54" t="s">
        <v>35</v>
      </c>
      <c r="B29" s="54"/>
      <c r="C29" s="54"/>
      <c r="D29" s="54"/>
      <c r="E29" s="38"/>
      <c r="F29" s="100"/>
      <c r="G29" s="103"/>
      <c r="J29" s="2"/>
    </row>
    <row r="30" spans="1:10" s="39" customFormat="1" x14ac:dyDescent="0.35">
      <c r="A30" s="40" t="s">
        <v>36</v>
      </c>
      <c r="B30" s="41"/>
      <c r="C30" s="41"/>
      <c r="D30" s="42">
        <f>D11</f>
        <v>11300</v>
      </c>
      <c r="E30" s="43"/>
      <c r="F30" s="101"/>
      <c r="G30" s="104"/>
    </row>
    <row r="31" spans="1:10" x14ac:dyDescent="0.35">
      <c r="A31" s="44" t="s">
        <v>30</v>
      </c>
      <c r="B31" s="45"/>
      <c r="C31" s="45"/>
      <c r="D31" s="24">
        <f>G15</f>
        <v>1299.5</v>
      </c>
      <c r="F31" s="118" t="s">
        <v>37</v>
      </c>
      <c r="G31" s="120">
        <f>IF(B16&gt;0,($D$12*50%),0)</f>
        <v>5000</v>
      </c>
    </row>
    <row r="32" spans="1:10" ht="15" customHeight="1" x14ac:dyDescent="0.35">
      <c r="A32" s="48" t="s">
        <v>31</v>
      </c>
      <c r="B32" s="49"/>
      <c r="C32" s="49"/>
      <c r="D32" s="46">
        <f>IF($F$11&gt;=12,IF($B$15&gt;=10%,0,$G$16),$G$16)</f>
        <v>0</v>
      </c>
      <c r="E32" s="47"/>
      <c r="F32" s="119"/>
      <c r="G32" s="103"/>
    </row>
    <row r="33" spans="1:10" x14ac:dyDescent="0.35">
      <c r="A33" s="48" t="s">
        <v>38</v>
      </c>
      <c r="B33" s="49"/>
      <c r="C33" s="49"/>
      <c r="D33" s="24">
        <f>IF(D21=1,G14-D26,IF(D21=2,G14/2,IF(D21=3,G14/3)))</f>
        <v>1071.239999999998</v>
      </c>
      <c r="F33" s="119"/>
      <c r="G33" s="103"/>
    </row>
    <row r="34" spans="1:10" x14ac:dyDescent="0.35">
      <c r="A34" s="51" t="s">
        <v>33</v>
      </c>
      <c r="B34" s="52"/>
      <c r="C34" s="52"/>
      <c r="D34" s="53">
        <f>D30-D31-D33-D32</f>
        <v>8929.260000000002</v>
      </c>
      <c r="E34" s="43"/>
      <c r="F34" s="119"/>
      <c r="G34" s="103"/>
    </row>
    <row r="35" spans="1:10" ht="10" customHeight="1" x14ac:dyDescent="0.35">
      <c r="A35" s="55"/>
      <c r="B35" s="55"/>
      <c r="C35" s="55"/>
      <c r="D35" s="56"/>
      <c r="E35" s="56"/>
      <c r="F35" s="121" t="s">
        <v>39</v>
      </c>
      <c r="G35" s="123">
        <f>IF(B16&gt;0,($D$12*5),0)</f>
        <v>50000</v>
      </c>
    </row>
    <row r="36" spans="1:10" x14ac:dyDescent="0.35">
      <c r="A36" s="54" t="s">
        <v>40</v>
      </c>
      <c r="B36" s="54"/>
      <c r="C36" s="54"/>
      <c r="D36" s="54"/>
      <c r="E36" s="38"/>
      <c r="F36" s="119"/>
      <c r="G36" s="103"/>
    </row>
    <row r="37" spans="1:10" x14ac:dyDescent="0.35">
      <c r="A37" s="40" t="s">
        <v>41</v>
      </c>
      <c r="B37" s="41"/>
      <c r="C37" s="41"/>
      <c r="D37" s="42">
        <f>D11</f>
        <v>11300</v>
      </c>
      <c r="E37" s="43"/>
      <c r="F37" s="119"/>
      <c r="G37" s="103"/>
    </row>
    <row r="38" spans="1:10" ht="15" customHeight="1" thickBot="1" x14ac:dyDescent="0.4">
      <c r="A38" s="44" t="s">
        <v>30</v>
      </c>
      <c r="B38" s="45"/>
      <c r="C38" s="45"/>
      <c r="D38" s="24">
        <f>G15</f>
        <v>1299.5</v>
      </c>
      <c r="F38" s="122"/>
      <c r="G38" s="124"/>
    </row>
    <row r="39" spans="1:10" ht="15" customHeight="1" thickTop="1" x14ac:dyDescent="0.35">
      <c r="A39" s="48" t="s">
        <v>42</v>
      </c>
      <c r="B39" s="49"/>
      <c r="C39" s="49"/>
      <c r="D39" s="46">
        <f>G16</f>
        <v>460.34500000000003</v>
      </c>
      <c r="E39" s="47"/>
      <c r="F39" s="4"/>
    </row>
    <row r="40" spans="1:10" x14ac:dyDescent="0.35">
      <c r="A40" s="48" t="s">
        <v>38</v>
      </c>
      <c r="B40" s="49"/>
      <c r="C40" s="49"/>
      <c r="D40" s="24">
        <f>IF(D21=1,0,IF(D21=2,0,IF(D21=3,G14/3)))</f>
        <v>0</v>
      </c>
      <c r="F40" s="4"/>
    </row>
    <row r="41" spans="1:10" x14ac:dyDescent="0.35">
      <c r="A41" s="51" t="s">
        <v>33</v>
      </c>
      <c r="B41" s="52"/>
      <c r="C41" s="52"/>
      <c r="D41" s="53">
        <f>D37-D38-D40-D39</f>
        <v>9540.1550000000007</v>
      </c>
      <c r="E41" s="43"/>
      <c r="F41" s="4"/>
    </row>
    <row r="42" spans="1:10" x14ac:dyDescent="0.35">
      <c r="A42" s="55"/>
      <c r="B42" s="55"/>
      <c r="C42" s="55"/>
      <c r="D42" s="55"/>
      <c r="E42" s="55"/>
      <c r="F42" s="55"/>
      <c r="G42" s="43"/>
      <c r="J42" s="2"/>
    </row>
    <row r="43" spans="1:10" ht="40.5" customHeight="1" x14ac:dyDescent="0.35">
      <c r="A43" s="92" t="s">
        <v>43</v>
      </c>
      <c r="B43" s="93"/>
      <c r="C43" s="93"/>
      <c r="D43" s="94"/>
      <c r="E43" s="94"/>
      <c r="F43" s="95"/>
      <c r="G43" s="94"/>
      <c r="J43" s="2"/>
    </row>
    <row r="44" spans="1:10" ht="5.15" customHeight="1" x14ac:dyDescent="0.35">
      <c r="J44" s="2"/>
    </row>
    <row r="45" spans="1:10" ht="36" customHeight="1" x14ac:dyDescent="0.35">
      <c r="A45" s="57"/>
      <c r="D45" s="96"/>
      <c r="E45" s="97"/>
      <c r="F45" s="56"/>
      <c r="G45" s="58"/>
    </row>
    <row r="46" spans="1:10" s="61" customFormat="1" ht="15.5" customHeight="1" x14ac:dyDescent="0.35">
      <c r="A46" s="55" t="s">
        <v>44</v>
      </c>
      <c r="B46" s="59"/>
      <c r="C46" s="59"/>
      <c r="D46" s="55" t="s">
        <v>45</v>
      </c>
      <c r="E46" s="55"/>
      <c r="F46" s="55"/>
      <c r="G46" s="60" t="s">
        <v>46</v>
      </c>
    </row>
    <row r="47" spans="1:10" ht="5.15" customHeight="1" x14ac:dyDescent="0.35"/>
    <row r="48" spans="1:10" x14ac:dyDescent="0.35">
      <c r="A48" s="98"/>
      <c r="B48" s="75"/>
      <c r="C48" s="75"/>
      <c r="D48" s="75"/>
      <c r="E48" s="75"/>
      <c r="F48" s="75"/>
      <c r="G48" s="76"/>
    </row>
  </sheetData>
  <sheetProtection algorithmName="SHA-512" hashValue="6Jfl9qSXUt33fvLMTFqq0fCJOgHaWddC2a4QsYzFS5lqavZnnIkVko1Y3xG6J6XHGSzzNqQX2MZsu/X4WoZLAA==" saltValue="UjBRW51ole9QFXgkHUMSEg==" spinCount="100000" sheet="1" objects="1" scenarios="1"/>
  <mergeCells count="28">
    <mergeCell ref="A43:G43"/>
    <mergeCell ref="D45:E45"/>
    <mergeCell ref="A48:G48"/>
    <mergeCell ref="D8:E8"/>
    <mergeCell ref="F27:F30"/>
    <mergeCell ref="G27:G30"/>
    <mergeCell ref="F31:F34"/>
    <mergeCell ref="G31:G34"/>
    <mergeCell ref="F35:F38"/>
    <mergeCell ref="G35:G38"/>
    <mergeCell ref="A18:G18"/>
    <mergeCell ref="D19:G19"/>
    <mergeCell ref="A21:B21"/>
    <mergeCell ref="F21:G22"/>
    <mergeCell ref="F23:F26"/>
    <mergeCell ref="G23:G26"/>
    <mergeCell ref="D16:E16"/>
    <mergeCell ref="A1:G1"/>
    <mergeCell ref="A2:G2"/>
    <mergeCell ref="B4:G4"/>
    <mergeCell ref="B5:G5"/>
    <mergeCell ref="B6:G6"/>
    <mergeCell ref="B7:G7"/>
    <mergeCell ref="D10:E10"/>
    <mergeCell ref="D11:E11"/>
    <mergeCell ref="D12:E12"/>
    <mergeCell ref="D14:E14"/>
    <mergeCell ref="D15:E15"/>
  </mergeCells>
  <conditionalFormatting sqref="D25">
    <cfRule type="cellIs" dxfId="3" priority="2" operator="lessThanOrEqual">
      <formula>0</formula>
    </cfRule>
  </conditionalFormatting>
  <conditionalFormatting sqref="D32">
    <cfRule type="cellIs" dxfId="2" priority="1" operator="lessThanOrEqual">
      <formula>0</formula>
    </cfRule>
  </conditionalFormatting>
  <printOptions horizontalCentered="1"/>
  <pageMargins left="0.23622047244094491" right="0.23622047244094491" top="0.55118110236220474" bottom="0.55118110236220474" header="0.31496062992125978" footer="0.31496062992125978"/>
  <pageSetup scale="97"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249977111117893"/>
    <pageSetUpPr fitToPage="1"/>
  </sheetPr>
  <dimension ref="A1:S47"/>
  <sheetViews>
    <sheetView tabSelected="1" zoomScale="70" zoomScaleNormal="70" workbookViewId="0">
      <pane ySplit="2" topLeftCell="A3" activePane="bottomLeft" state="frozen"/>
      <selection activeCell="A15" sqref="A15:G15"/>
      <selection pane="bottomLeft" activeCell="J19" sqref="J19"/>
    </sheetView>
  </sheetViews>
  <sheetFormatPr defaultColWidth="9.1796875" defaultRowHeight="14.5" x14ac:dyDescent="0.35"/>
  <cols>
    <col min="1" max="1" width="45.90625" style="2" bestFit="1" customWidth="1"/>
    <col min="2" max="2" width="8.7265625" style="29" bestFit="1" customWidth="1"/>
    <col min="3" max="3" width="8.7265625" style="29" hidden="1" customWidth="1"/>
    <col min="4" max="4" width="14.26953125" style="4" customWidth="1"/>
    <col min="5" max="5" width="3.1796875" style="4" customWidth="1"/>
    <col min="6" max="6" width="15.26953125" style="31" customWidth="1"/>
    <col min="7" max="7" width="14.26953125" style="4" customWidth="1"/>
    <col min="8" max="8" width="9.54296875" style="2" bestFit="1" customWidth="1"/>
    <col min="9" max="9" width="10.54296875" style="2" bestFit="1" customWidth="1"/>
    <col min="10" max="10" width="13.7265625" style="4" bestFit="1" customWidth="1"/>
    <col min="11" max="11" width="9.1796875" style="2" customWidth="1"/>
    <col min="12" max="12" width="11.26953125" style="2" bestFit="1" customWidth="1"/>
    <col min="13" max="13" width="9.1796875" style="2" customWidth="1"/>
    <col min="14" max="16384" width="9.1796875" style="2"/>
  </cols>
  <sheetData>
    <row r="1" spans="1:12" ht="18.5" customHeight="1" x14ac:dyDescent="0.35">
      <c r="A1" s="74" t="s">
        <v>0</v>
      </c>
      <c r="B1" s="75"/>
      <c r="C1" s="75"/>
      <c r="D1" s="75"/>
      <c r="E1" s="75"/>
      <c r="F1" s="75"/>
      <c r="G1" s="76"/>
    </row>
    <row r="2" spans="1:12" ht="15.5" customHeight="1" x14ac:dyDescent="0.35">
      <c r="A2" s="77" t="s">
        <v>47</v>
      </c>
      <c r="B2" s="78"/>
      <c r="C2" s="78"/>
      <c r="D2" s="78"/>
      <c r="E2" s="78"/>
      <c r="F2" s="78"/>
      <c r="G2" s="78"/>
    </row>
    <row r="4" spans="1:12" s="16" customFormat="1" ht="15.5" customHeight="1" x14ac:dyDescent="0.35">
      <c r="A4" s="14" t="s">
        <v>2</v>
      </c>
      <c r="B4" s="79"/>
      <c r="C4" s="72"/>
      <c r="D4" s="72"/>
      <c r="E4" s="72"/>
      <c r="F4" s="72"/>
      <c r="G4" s="73"/>
      <c r="J4" s="17"/>
    </row>
    <row r="5" spans="1:12" s="16" customFormat="1" ht="15.5" customHeight="1" x14ac:dyDescent="0.35">
      <c r="A5" s="14" t="s">
        <v>3</v>
      </c>
      <c r="B5" s="79"/>
      <c r="C5" s="72"/>
      <c r="D5" s="72"/>
      <c r="E5" s="72"/>
      <c r="F5" s="72"/>
      <c r="G5" s="73"/>
      <c r="J5" s="17"/>
      <c r="L5" s="17"/>
    </row>
    <row r="6" spans="1:12" s="16" customFormat="1" ht="15.5" customHeight="1" x14ac:dyDescent="0.35">
      <c r="A6" s="14" t="s">
        <v>4</v>
      </c>
      <c r="B6" s="79"/>
      <c r="C6" s="72"/>
      <c r="D6" s="72"/>
      <c r="E6" s="72"/>
      <c r="F6" s="72"/>
      <c r="G6" s="73"/>
      <c r="J6" s="17"/>
    </row>
    <row r="7" spans="1:12" s="16" customFormat="1" ht="15.5" customHeight="1" x14ac:dyDescent="0.35">
      <c r="A7" s="14" t="s">
        <v>5</v>
      </c>
      <c r="B7" s="71"/>
      <c r="C7" s="72"/>
      <c r="D7" s="72"/>
      <c r="E7" s="72"/>
      <c r="F7" s="72"/>
      <c r="G7" s="73"/>
      <c r="J7" s="17"/>
    </row>
    <row r="8" spans="1:12" s="16" customFormat="1" ht="15.5" customHeight="1" x14ac:dyDescent="0.35">
      <c r="A8" s="14" t="s">
        <v>6</v>
      </c>
      <c r="B8" s="90">
        <v>1</v>
      </c>
      <c r="C8" s="75"/>
      <c r="D8" s="75"/>
      <c r="E8" s="75"/>
      <c r="F8" s="75"/>
      <c r="G8" s="76"/>
      <c r="J8" s="17"/>
    </row>
    <row r="10" spans="1:12" s="20" customFormat="1" ht="30" customHeight="1" x14ac:dyDescent="0.35">
      <c r="A10" s="5" t="s">
        <v>10</v>
      </c>
      <c r="B10" s="6" t="s">
        <v>11</v>
      </c>
      <c r="C10" s="7"/>
      <c r="D10" s="88" t="s">
        <v>12</v>
      </c>
      <c r="E10" s="76"/>
      <c r="F10" s="8" t="s">
        <v>13</v>
      </c>
      <c r="G10" s="6" t="s">
        <v>14</v>
      </c>
      <c r="J10" s="21"/>
    </row>
    <row r="11" spans="1:12" x14ac:dyDescent="0.35">
      <c r="A11" s="13" t="s">
        <v>15</v>
      </c>
      <c r="B11" s="22"/>
      <c r="C11" s="62"/>
      <c r="D11" s="80">
        <f>ROUNDUP(D12/(1-(B15*1.15)),-1)</f>
        <v>0</v>
      </c>
      <c r="E11" s="76"/>
      <c r="F11" s="23"/>
      <c r="G11" s="24">
        <f>F11*D11</f>
        <v>0</v>
      </c>
    </row>
    <row r="12" spans="1:12" x14ac:dyDescent="0.35">
      <c r="A12" s="13" t="s">
        <v>16</v>
      </c>
      <c r="B12" s="22"/>
      <c r="C12" s="62"/>
      <c r="D12" s="89"/>
      <c r="E12" s="73"/>
      <c r="F12" s="9"/>
      <c r="G12" s="24"/>
    </row>
    <row r="13" spans="1:12" ht="14.5" customHeight="1" x14ac:dyDescent="0.35">
      <c r="A13" s="25" t="s">
        <v>17</v>
      </c>
      <c r="B13" s="26"/>
      <c r="C13" s="26"/>
      <c r="D13" s="26"/>
      <c r="E13" s="26"/>
      <c r="F13" s="27" t="s">
        <v>18</v>
      </c>
      <c r="G13" s="28"/>
    </row>
    <row r="14" spans="1:12" s="1" customFormat="1" x14ac:dyDescent="0.35">
      <c r="A14" s="10" t="s">
        <v>49</v>
      </c>
      <c r="B14" s="65">
        <v>7.0000000000000007E-2</v>
      </c>
      <c r="C14" s="63">
        <f>(B14*15%)+B14</f>
        <v>8.0500000000000002E-2</v>
      </c>
      <c r="D14" s="80">
        <f>G11*B14</f>
        <v>0</v>
      </c>
      <c r="E14" s="76"/>
      <c r="F14" s="9">
        <f>D14*115/100-D14</f>
        <v>0</v>
      </c>
      <c r="G14" s="67">
        <f>D14+F14</f>
        <v>0</v>
      </c>
      <c r="I14" s="64"/>
      <c r="J14" s="3"/>
    </row>
    <row r="15" spans="1:12" x14ac:dyDescent="0.35">
      <c r="A15" s="13" t="s">
        <v>20</v>
      </c>
      <c r="B15" s="65">
        <v>0.1</v>
      </c>
      <c r="C15" s="63">
        <f>(B15*15%)+B15</f>
        <v>0.115</v>
      </c>
      <c r="D15" s="80">
        <f>D11*B15</f>
        <v>0</v>
      </c>
      <c r="E15" s="76"/>
      <c r="F15" s="9">
        <f>D15*115/100-D15</f>
        <v>0</v>
      </c>
      <c r="G15" s="67">
        <f>D15+F15</f>
        <v>0</v>
      </c>
    </row>
    <row r="16" spans="1:12" x14ac:dyDescent="0.35">
      <c r="A16" s="13" t="s">
        <v>42</v>
      </c>
      <c r="B16" s="11">
        <v>3.5000000000000003E-2</v>
      </c>
      <c r="C16" s="11"/>
      <c r="D16" s="80">
        <f>IF(B16&gt;0,(D11*B16+50),0)</f>
        <v>50</v>
      </c>
      <c r="E16" s="76"/>
      <c r="F16" s="9">
        <f>D16*15%</f>
        <v>7.5</v>
      </c>
      <c r="G16" s="24">
        <f>D16+F16</f>
        <v>57.5</v>
      </c>
    </row>
    <row r="17" spans="1:19" x14ac:dyDescent="0.35">
      <c r="A17" s="13" t="s">
        <v>50</v>
      </c>
      <c r="B17" s="69"/>
      <c r="C17" s="9"/>
      <c r="D17" s="80"/>
      <c r="E17" s="76"/>
      <c r="F17" s="24"/>
      <c r="G17" s="70" t="str">
        <f>IF(AND(B15=0,B16=0,B14&gt;0,(D11-G14)&lt;0),G14-D11,"")</f>
        <v/>
      </c>
      <c r="I17" s="4"/>
      <c r="J17" s="2"/>
    </row>
    <row r="18" spans="1:19" ht="10" customHeight="1" x14ac:dyDescent="0.35">
      <c r="F18" s="30"/>
    </row>
    <row r="19" spans="1:19" ht="14.5" customHeight="1" x14ac:dyDescent="0.35">
      <c r="A19" s="81" t="s">
        <v>22</v>
      </c>
      <c r="B19" s="75"/>
      <c r="C19" s="75"/>
      <c r="D19" s="75"/>
      <c r="E19" s="75"/>
      <c r="F19" s="75"/>
      <c r="G19" s="76"/>
    </row>
    <row r="20" spans="1:19" s="1" customFormat="1" x14ac:dyDescent="0.35">
      <c r="A20" s="13" t="s">
        <v>23</v>
      </c>
      <c r="B20" s="11">
        <v>4.4999999999999998E-2</v>
      </c>
      <c r="C20" s="11"/>
      <c r="D20" s="82" t="s">
        <v>24</v>
      </c>
      <c r="E20" s="75"/>
      <c r="F20" s="75"/>
      <c r="G20" s="76"/>
      <c r="J20" s="3"/>
    </row>
    <row r="21" spans="1:19" ht="15" customHeight="1" thickBot="1" x14ac:dyDescent="0.4"/>
    <row r="22" spans="1:19" ht="15" customHeight="1" thickTop="1" x14ac:dyDescent="0.35">
      <c r="A22" s="83" t="s">
        <v>25</v>
      </c>
      <c r="B22" s="76"/>
      <c r="C22" s="32"/>
      <c r="D22" s="33"/>
      <c r="E22" s="34"/>
      <c r="F22" s="84" t="s">
        <v>26</v>
      </c>
      <c r="G22" s="85"/>
    </row>
    <row r="23" spans="1:19" s="39" customFormat="1" ht="15" customHeight="1" thickBot="1" x14ac:dyDescent="0.4">
      <c r="A23" s="35" t="s">
        <v>27</v>
      </c>
      <c r="B23" s="36"/>
      <c r="C23" s="36"/>
      <c r="D23" s="37"/>
      <c r="E23" s="38"/>
      <c r="F23" s="86"/>
      <c r="G23" s="87"/>
    </row>
    <row r="24" spans="1:19" s="39" customFormat="1" ht="15" customHeight="1" thickTop="1" x14ac:dyDescent="0.35">
      <c r="A24" s="40" t="s">
        <v>28</v>
      </c>
      <c r="B24" s="41"/>
      <c r="C24" s="41"/>
      <c r="D24" s="42">
        <f>D11</f>
        <v>0</v>
      </c>
      <c r="E24" s="43"/>
      <c r="F24" s="113" t="s">
        <v>29</v>
      </c>
      <c r="G24" s="116">
        <f>$G$16*10</f>
        <v>575</v>
      </c>
      <c r="O24" s="91" t="s">
        <v>51</v>
      </c>
      <c r="P24" s="75"/>
      <c r="Q24" s="75"/>
      <c r="R24" s="76"/>
      <c r="S24" s="68">
        <f>IF((S23-S22)&lt;0,0,(S23-S22))</f>
        <v>0</v>
      </c>
    </row>
    <row r="25" spans="1:19" s="20" customFormat="1" ht="15.5" customHeight="1" x14ac:dyDescent="0.35">
      <c r="A25" s="44" t="s">
        <v>30</v>
      </c>
      <c r="B25" s="45"/>
      <c r="C25" s="45"/>
      <c r="D25" s="46">
        <f>G15</f>
        <v>0</v>
      </c>
      <c r="E25" s="47"/>
      <c r="F25" s="114"/>
      <c r="G25" s="103"/>
    </row>
    <row r="26" spans="1:19" s="20" customFormat="1" ht="15.5" customHeight="1" x14ac:dyDescent="0.35">
      <c r="A26" s="48" t="s">
        <v>52</v>
      </c>
      <c r="B26" s="49"/>
      <c r="C26" s="49"/>
      <c r="D26" s="46">
        <f>IF($F$11&gt;=12,IF($B$15&gt;=10%,0,$G$16),$G$16)</f>
        <v>57.5</v>
      </c>
      <c r="E26" s="47"/>
      <c r="F26" s="114"/>
      <c r="G26" s="103"/>
    </row>
    <row r="27" spans="1:19" x14ac:dyDescent="0.35">
      <c r="A27" s="48" t="s">
        <v>32</v>
      </c>
      <c r="B27" s="49"/>
      <c r="C27" s="49"/>
      <c r="D27" s="24" t="b">
        <f>IF(D22=1,G14,IF(D22=2,G14/2,IF(D22=3,G14/3)))</f>
        <v>0</v>
      </c>
      <c r="F27" s="115"/>
      <c r="G27" s="104"/>
      <c r="H27" s="50"/>
    </row>
    <row r="28" spans="1:19" x14ac:dyDescent="0.35">
      <c r="A28" s="51" t="s">
        <v>33</v>
      </c>
      <c r="B28" s="52"/>
      <c r="C28" s="52"/>
      <c r="D28" s="53">
        <f>D24-D25-D27-D26</f>
        <v>-57.5</v>
      </c>
      <c r="E28" s="43"/>
      <c r="F28" s="99" t="s">
        <v>34</v>
      </c>
      <c r="G28" s="102">
        <f>$G$16*12</f>
        <v>690</v>
      </c>
      <c r="H28" s="50"/>
    </row>
    <row r="29" spans="1:19" ht="10" customHeight="1" x14ac:dyDescent="0.35">
      <c r="F29" s="100"/>
      <c r="G29" s="103"/>
    </row>
    <row r="30" spans="1:19" x14ac:dyDescent="0.35">
      <c r="A30" s="54" t="s">
        <v>35</v>
      </c>
      <c r="B30" s="54"/>
      <c r="C30" s="54"/>
      <c r="D30" s="54"/>
      <c r="E30" s="38"/>
      <c r="F30" s="100"/>
      <c r="G30" s="103"/>
      <c r="J30" s="2"/>
    </row>
    <row r="31" spans="1:19" s="39" customFormat="1" x14ac:dyDescent="0.35">
      <c r="A31" s="40" t="s">
        <v>36</v>
      </c>
      <c r="B31" s="41"/>
      <c r="C31" s="41"/>
      <c r="D31" s="42">
        <f>D11</f>
        <v>0</v>
      </c>
      <c r="E31" s="43"/>
      <c r="F31" s="101"/>
      <c r="G31" s="104"/>
    </row>
    <row r="32" spans="1:19" x14ac:dyDescent="0.35">
      <c r="A32" s="44" t="s">
        <v>30</v>
      </c>
      <c r="B32" s="45"/>
      <c r="C32" s="45"/>
      <c r="D32" s="24">
        <f>G15</f>
        <v>0</v>
      </c>
      <c r="F32" s="105" t="s">
        <v>37</v>
      </c>
      <c r="G32" s="107">
        <f>IF(B16&gt;0,($D$12*50%),0)</f>
        <v>0</v>
      </c>
    </row>
    <row r="33" spans="1:10" ht="15" customHeight="1" x14ac:dyDescent="0.35">
      <c r="A33" s="48" t="s">
        <v>52</v>
      </c>
      <c r="B33" s="49"/>
      <c r="C33" s="49"/>
      <c r="D33" s="46">
        <f>IF($F$11&gt;=12,IF($B$15&gt;=10%,0,$G$16),$G$16)</f>
        <v>57.5</v>
      </c>
      <c r="E33" s="47"/>
      <c r="F33" s="106"/>
      <c r="G33" s="108"/>
    </row>
    <row r="34" spans="1:10" x14ac:dyDescent="0.35">
      <c r="A34" s="48" t="s">
        <v>38</v>
      </c>
      <c r="B34" s="49"/>
      <c r="C34" s="49"/>
      <c r="D34" s="24" t="b">
        <f>IF(D22=1,IF(D28&lt;0,ABS(D28),G14-D27),
   IF(D22=2,G14/2,IF(D22=3,G14/3)))</f>
        <v>0</v>
      </c>
      <c r="F34" s="106"/>
      <c r="G34" s="108"/>
    </row>
    <row r="35" spans="1:10" x14ac:dyDescent="0.35">
      <c r="A35" s="51" t="s">
        <v>33</v>
      </c>
      <c r="B35" s="52"/>
      <c r="C35" s="52"/>
      <c r="D35" s="53">
        <f>D31-D32-D34-D33</f>
        <v>-57.5</v>
      </c>
      <c r="E35" s="43"/>
      <c r="F35" s="106"/>
      <c r="G35" s="108"/>
    </row>
    <row r="36" spans="1:10" ht="10" customHeight="1" x14ac:dyDescent="0.35">
      <c r="A36" s="55"/>
      <c r="B36" s="55"/>
      <c r="C36" s="55"/>
      <c r="D36" s="56"/>
      <c r="E36" s="56"/>
      <c r="F36" s="109" t="s">
        <v>39</v>
      </c>
      <c r="G36" s="111">
        <f>IF(B16&gt;0,($D$12*5),0)</f>
        <v>0</v>
      </c>
    </row>
    <row r="37" spans="1:10" x14ac:dyDescent="0.35">
      <c r="A37" s="54" t="s">
        <v>40</v>
      </c>
      <c r="B37" s="54"/>
      <c r="C37" s="54"/>
      <c r="D37" s="54"/>
      <c r="E37" s="38"/>
      <c r="F37" s="106"/>
      <c r="G37" s="108"/>
    </row>
    <row r="38" spans="1:10" x14ac:dyDescent="0.35">
      <c r="A38" s="40" t="s">
        <v>41</v>
      </c>
      <c r="B38" s="41"/>
      <c r="C38" s="41"/>
      <c r="D38" s="42">
        <f>D11</f>
        <v>0</v>
      </c>
      <c r="E38" s="43"/>
      <c r="F38" s="106"/>
      <c r="G38" s="108"/>
    </row>
    <row r="39" spans="1:10" ht="15" customHeight="1" thickBot="1" x14ac:dyDescent="0.4">
      <c r="A39" s="44" t="s">
        <v>30</v>
      </c>
      <c r="B39" s="45"/>
      <c r="C39" s="45"/>
      <c r="D39" s="24">
        <f>G15</f>
        <v>0</v>
      </c>
      <c r="F39" s="110"/>
      <c r="G39" s="112"/>
    </row>
    <row r="40" spans="1:10" ht="15" customHeight="1" thickTop="1" x14ac:dyDescent="0.35">
      <c r="A40" s="48" t="s">
        <v>42</v>
      </c>
      <c r="B40" s="49"/>
      <c r="C40" s="49"/>
      <c r="D40" s="46">
        <f>G16</f>
        <v>57.5</v>
      </c>
      <c r="E40" s="47"/>
      <c r="F40" s="4"/>
    </row>
    <row r="41" spans="1:10" x14ac:dyDescent="0.35">
      <c r="A41" s="48" t="s">
        <v>38</v>
      </c>
      <c r="B41" s="49"/>
      <c r="C41" s="49"/>
      <c r="D41" s="24" t="b">
        <f>IF(D22=1,0,IF(D22=2,0,IF(D22=3,G14/3)))</f>
        <v>0</v>
      </c>
      <c r="F41" s="4"/>
    </row>
    <row r="42" spans="1:10" x14ac:dyDescent="0.35">
      <c r="A42" s="51" t="s">
        <v>33</v>
      </c>
      <c r="B42" s="52"/>
      <c r="C42" s="52"/>
      <c r="D42" s="53">
        <f>D38-D39-D41-D40</f>
        <v>-57.5</v>
      </c>
      <c r="E42" s="43"/>
      <c r="F42" s="4"/>
    </row>
    <row r="43" spans="1:10" x14ac:dyDescent="0.35">
      <c r="A43" s="55"/>
      <c r="B43" s="55"/>
      <c r="C43" s="55"/>
      <c r="D43" s="55"/>
      <c r="E43" s="55"/>
      <c r="F43" s="55"/>
      <c r="G43" s="43"/>
      <c r="J43" s="2"/>
    </row>
    <row r="44" spans="1:10" ht="40.5" customHeight="1" x14ac:dyDescent="0.35">
      <c r="A44" s="92" t="s">
        <v>43</v>
      </c>
      <c r="B44" s="93"/>
      <c r="C44" s="93"/>
      <c r="D44" s="94"/>
      <c r="E44" s="94"/>
      <c r="F44" s="95"/>
      <c r="G44" s="94"/>
      <c r="J44" s="2"/>
    </row>
    <row r="45" spans="1:10" ht="36" customHeight="1" x14ac:dyDescent="0.35">
      <c r="A45" s="57"/>
      <c r="D45" s="96"/>
      <c r="E45" s="97"/>
      <c r="F45" s="56"/>
      <c r="G45" s="58"/>
    </row>
    <row r="46" spans="1:10" s="61" customFormat="1" ht="15.5" customHeight="1" x14ac:dyDescent="0.35">
      <c r="A46" s="55" t="s">
        <v>44</v>
      </c>
      <c r="B46" s="59"/>
      <c r="C46" s="59"/>
      <c r="D46" s="55" t="s">
        <v>45</v>
      </c>
      <c r="E46" s="55"/>
      <c r="F46" s="55"/>
      <c r="G46" s="60" t="s">
        <v>46</v>
      </c>
    </row>
    <row r="47" spans="1:10" x14ac:dyDescent="0.35">
      <c r="A47" s="98"/>
      <c r="B47" s="75"/>
      <c r="C47" s="75"/>
      <c r="D47" s="75"/>
      <c r="E47" s="75"/>
      <c r="F47" s="75"/>
      <c r="G47" s="76"/>
    </row>
  </sheetData>
  <mergeCells count="30">
    <mergeCell ref="O24:R24"/>
    <mergeCell ref="D17:E17"/>
    <mergeCell ref="A44:G44"/>
    <mergeCell ref="D45:E45"/>
    <mergeCell ref="A47:G47"/>
    <mergeCell ref="F28:F31"/>
    <mergeCell ref="G28:G31"/>
    <mergeCell ref="F32:F35"/>
    <mergeCell ref="G32:G35"/>
    <mergeCell ref="F36:F39"/>
    <mergeCell ref="G36:G39"/>
    <mergeCell ref="F24:F27"/>
    <mergeCell ref="G24:G27"/>
    <mergeCell ref="D10:E10"/>
    <mergeCell ref="D11:E11"/>
    <mergeCell ref="D12:E12"/>
    <mergeCell ref="D14:E14"/>
    <mergeCell ref="B8:G8"/>
    <mergeCell ref="D15:E15"/>
    <mergeCell ref="D16:E16"/>
    <mergeCell ref="A19:G19"/>
    <mergeCell ref="D20:G20"/>
    <mergeCell ref="A22:B22"/>
    <mergeCell ref="F22:G23"/>
    <mergeCell ref="B7:G7"/>
    <mergeCell ref="A1:G1"/>
    <mergeCell ref="A2:G2"/>
    <mergeCell ref="B4:G4"/>
    <mergeCell ref="B5:G5"/>
    <mergeCell ref="B6:G6"/>
  </mergeCells>
  <conditionalFormatting sqref="D26">
    <cfRule type="cellIs" dxfId="1" priority="2" operator="lessThanOrEqual">
      <formula>0</formula>
    </cfRule>
  </conditionalFormatting>
  <conditionalFormatting sqref="D33">
    <cfRule type="cellIs" dxfId="0" priority="1" operator="lessThanOrEqual">
      <formula>0</formula>
    </cfRule>
  </conditionalFormatting>
  <printOptions horizontalCentered="1"/>
  <pageMargins left="0.23622047244094491" right="0.23622047244094491" top="0.55118110236220474" bottom="0.55118110236220474" header="0.31496062992125978" footer="0.31496062992125978"/>
  <pageSetup scale="95"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32"/>
  <sheetViews>
    <sheetView topLeftCell="A2" workbookViewId="0">
      <selection activeCell="D16" sqref="D16"/>
    </sheetView>
  </sheetViews>
  <sheetFormatPr defaultRowHeight="14.5" x14ac:dyDescent="0.35"/>
  <cols>
    <col min="2" max="2" width="3.26953125" customWidth="1"/>
  </cols>
  <sheetData>
    <row r="1" spans="1:4" x14ac:dyDescent="0.35">
      <c r="A1" t="s">
        <v>53</v>
      </c>
    </row>
    <row r="2" spans="1:4" x14ac:dyDescent="0.35">
      <c r="A2">
        <v>1</v>
      </c>
      <c r="C2" t="s">
        <v>54</v>
      </c>
      <c r="D2">
        <v>31</v>
      </c>
    </row>
    <row r="3" spans="1:4" x14ac:dyDescent="0.35">
      <c r="A3">
        <v>2</v>
      </c>
      <c r="C3" t="s">
        <v>55</v>
      </c>
      <c r="D3">
        <v>29</v>
      </c>
    </row>
    <row r="4" spans="1:4" x14ac:dyDescent="0.35">
      <c r="A4">
        <v>3</v>
      </c>
      <c r="C4" t="s">
        <v>56</v>
      </c>
      <c r="D4">
        <v>31</v>
      </c>
    </row>
    <row r="5" spans="1:4" x14ac:dyDescent="0.35">
      <c r="A5">
        <v>4</v>
      </c>
      <c r="C5" t="s">
        <v>57</v>
      </c>
      <c r="D5">
        <v>30</v>
      </c>
    </row>
    <row r="6" spans="1:4" x14ac:dyDescent="0.35">
      <c r="A6">
        <v>5</v>
      </c>
      <c r="C6" t="s">
        <v>58</v>
      </c>
      <c r="D6">
        <v>31</v>
      </c>
    </row>
    <row r="7" spans="1:4" x14ac:dyDescent="0.35">
      <c r="A7">
        <v>6</v>
      </c>
      <c r="C7" t="s">
        <v>8</v>
      </c>
      <c r="D7">
        <v>30</v>
      </c>
    </row>
    <row r="8" spans="1:4" x14ac:dyDescent="0.35">
      <c r="A8">
        <v>7</v>
      </c>
      <c r="C8" t="s">
        <v>59</v>
      </c>
      <c r="D8">
        <v>31</v>
      </c>
    </row>
    <row r="9" spans="1:4" x14ac:dyDescent="0.35">
      <c r="A9">
        <v>8</v>
      </c>
      <c r="C9" t="s">
        <v>60</v>
      </c>
      <c r="D9">
        <v>31</v>
      </c>
    </row>
    <row r="10" spans="1:4" x14ac:dyDescent="0.35">
      <c r="A10">
        <v>9</v>
      </c>
      <c r="C10" t="s">
        <v>61</v>
      </c>
      <c r="D10">
        <v>30</v>
      </c>
    </row>
    <row r="11" spans="1:4" x14ac:dyDescent="0.35">
      <c r="A11">
        <v>10</v>
      </c>
      <c r="C11" t="s">
        <v>62</v>
      </c>
      <c r="D11">
        <v>31</v>
      </c>
    </row>
    <row r="12" spans="1:4" x14ac:dyDescent="0.35">
      <c r="A12">
        <v>11</v>
      </c>
      <c r="C12" t="s">
        <v>63</v>
      </c>
      <c r="D12">
        <v>30</v>
      </c>
    </row>
    <row r="13" spans="1:4" x14ac:dyDescent="0.35">
      <c r="A13">
        <v>12</v>
      </c>
      <c r="C13" t="s">
        <v>48</v>
      </c>
      <c r="D13">
        <v>31</v>
      </c>
    </row>
    <row r="14" spans="1:4" x14ac:dyDescent="0.35">
      <c r="A14">
        <v>13</v>
      </c>
    </row>
    <row r="15" spans="1:4" x14ac:dyDescent="0.35">
      <c r="A15">
        <v>14</v>
      </c>
      <c r="C15" t="s">
        <v>64</v>
      </c>
      <c r="D15" s="66">
        <v>3.1E-2</v>
      </c>
    </row>
    <row r="16" spans="1:4" x14ac:dyDescent="0.35">
      <c r="A16">
        <v>15</v>
      </c>
      <c r="C16" t="s">
        <v>65</v>
      </c>
      <c r="D16">
        <v>0</v>
      </c>
    </row>
    <row r="17" spans="1:4" x14ac:dyDescent="0.35">
      <c r="A17">
        <v>16</v>
      </c>
      <c r="C17" t="s">
        <v>66</v>
      </c>
      <c r="D17" t="s">
        <v>67</v>
      </c>
    </row>
    <row r="18" spans="1:4" x14ac:dyDescent="0.35">
      <c r="A18">
        <v>17</v>
      </c>
    </row>
    <row r="19" spans="1:4" x14ac:dyDescent="0.35">
      <c r="A19">
        <v>18</v>
      </c>
    </row>
    <row r="20" spans="1:4" x14ac:dyDescent="0.35">
      <c r="A20">
        <v>19</v>
      </c>
    </row>
    <row r="21" spans="1:4" x14ac:dyDescent="0.35">
      <c r="A21">
        <v>20</v>
      </c>
    </row>
    <row r="22" spans="1:4" x14ac:dyDescent="0.35">
      <c r="A22">
        <v>21</v>
      </c>
    </row>
    <row r="23" spans="1:4" x14ac:dyDescent="0.35">
      <c r="A23">
        <v>22</v>
      </c>
    </row>
    <row r="24" spans="1:4" x14ac:dyDescent="0.35">
      <c r="A24">
        <v>23</v>
      </c>
    </row>
    <row r="25" spans="1:4" x14ac:dyDescent="0.35">
      <c r="A25">
        <v>24</v>
      </c>
    </row>
    <row r="26" spans="1:4" x14ac:dyDescent="0.35">
      <c r="A26">
        <v>25</v>
      </c>
    </row>
    <row r="27" spans="1:4" x14ac:dyDescent="0.35">
      <c r="A27">
        <v>26</v>
      </c>
    </row>
    <row r="28" spans="1:4" x14ac:dyDescent="0.35">
      <c r="A28">
        <v>27</v>
      </c>
    </row>
    <row r="29" spans="1:4" x14ac:dyDescent="0.35">
      <c r="A29">
        <v>28</v>
      </c>
    </row>
    <row r="30" spans="1:4" x14ac:dyDescent="0.35">
      <c r="A30">
        <v>29</v>
      </c>
    </row>
    <row r="31" spans="1:4" x14ac:dyDescent="0.35">
      <c r="A31">
        <v>30</v>
      </c>
    </row>
    <row r="32" spans="1:4" x14ac:dyDescent="0.35">
      <c r="A32">
        <v>31</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 PLA &amp; Man % OP</vt:lpstr>
      <vt:lpstr>Template</vt:lpstr>
      <vt:lpstr>Options</vt:lpstr>
      <vt:lpstr>'!! PLA &amp; Man % OP'!Print_Area</vt:lpstr>
      <vt:lpstr>Template!Print_Area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Angelique Schutte</dc:creator>
  <cp:lastModifiedBy>Janus De Jonge</cp:lastModifiedBy>
  <cp:lastPrinted>2025-11-14T14:02:01Z</cp:lastPrinted>
  <dcterms:created xsi:type="dcterms:W3CDTF">2022-11-13T16:18:57Z</dcterms:created>
  <dcterms:modified xsi:type="dcterms:W3CDTF">2026-06-14T15:57:12Z</dcterms:modified>
</cp:coreProperties>
</file>